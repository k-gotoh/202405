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w\202405\dev\doc\010_設計書\040_テーブル定義書\"/>
    </mc:Choice>
  </mc:AlternateContent>
  <xr:revisionPtr revIDLastSave="0" documentId="13_ncr:1_{BF71B279-1587-49BC-803F-630FBE3B3347}" xr6:coauthVersionLast="47" xr6:coauthVersionMax="47" xr10:uidLastSave="{00000000-0000-0000-0000-000000000000}"/>
  <bookViews>
    <workbookView xWindow="-27675" yWindow="1470" windowWidth="25095" windowHeight="14385" activeTab="3" xr2:uid="{7C06B2B9-F819-4B4C-AD73-7D03A77EEA76}"/>
  </bookViews>
  <sheets>
    <sheet name="更新履歴" sheetId="6" r:id="rId1"/>
    <sheet name="商品マスタ" sheetId="7" r:id="rId2"/>
    <sheet name="在庫マスタ" sheetId="10" r:id="rId3"/>
    <sheet name="入出庫トランザクショントランザクション" sheetId="11" r:id="rId4"/>
    <sheet name="テーブル名4" sheetId="9" r:id="rId5"/>
    <sheet name="ヘッダ" sheetId="1" r:id="rId6"/>
  </sheets>
  <definedNames>
    <definedName name="タイトル">ヘッダ!$P$2</definedName>
    <definedName name="ドキュメント名">ヘッダ!$P$2</definedName>
    <definedName name="プロジェクト名">ヘッダ!$F$4</definedName>
    <definedName name="案件番号">ヘッダ!$A$2</definedName>
    <definedName name="案件名">ヘッダ!$F$2</definedName>
    <definedName name="作成担当者">ヘッダ!$AD$2</definedName>
    <definedName name="作成年月日">ヘッダ!$AH$2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1" l="1"/>
  <c r="AH2" i="11"/>
  <c r="AD2" i="11"/>
  <c r="P2" i="11"/>
  <c r="F2" i="11" a="1"/>
  <c r="F2" i="11" s="1"/>
  <c r="A2" i="11"/>
  <c r="F4" i="10"/>
  <c r="AH2" i="10"/>
  <c r="AD2" i="10"/>
  <c r="P2" i="10"/>
  <c r="F2" i="10" a="1"/>
  <c r="F2" i="10" s="1"/>
  <c r="A2" i="10"/>
  <c r="F4" i="9"/>
  <c r="AH2" i="9"/>
  <c r="AD2" i="9"/>
  <c r="P2" i="9"/>
  <c r="F2" i="9" a="1"/>
  <c r="F2" i="9" s="1"/>
  <c r="A2" i="9"/>
  <c r="F4" i="7"/>
  <c r="AH2" i="7"/>
  <c r="AD2" i="7"/>
  <c r="P2" i="7"/>
  <c r="F2" i="7" a="1"/>
  <c r="F2" i="7" s="1"/>
  <c r="A2" i="7"/>
  <c r="F4" i="6"/>
  <c r="AH2" i="6"/>
  <c r="AD2" i="6"/>
  <c r="P2" i="6"/>
  <c r="F2" i="6" a="1"/>
  <c r="F2" i="6" s="1"/>
  <c r="A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<sst xmlns="http://schemas.openxmlformats.org/spreadsheetml/2006/main" count="171" uniqueCount="70">
  <si>
    <t>案件番号</t>
    <rPh sb="0" eb="2">
      <t>アンケン</t>
    </rPh>
    <rPh sb="2" eb="4">
      <t>バンゴウ</t>
    </rPh>
    <phoneticPr fontId="1"/>
  </si>
  <si>
    <t>プロジェクト名</t>
    <rPh sb="6" eb="7">
      <t>ナ</t>
    </rPh>
    <phoneticPr fontId="1"/>
  </si>
  <si>
    <t>文章番号</t>
    <rPh sb="0" eb="2">
      <t>ブンショウ</t>
    </rPh>
    <rPh sb="2" eb="4">
      <t>バンゴウ</t>
    </rPh>
    <phoneticPr fontId="1"/>
  </si>
  <si>
    <t>タイトル</t>
    <phoneticPr fontId="1"/>
  </si>
  <si>
    <t>案件名</t>
    <rPh sb="0" eb="2">
      <t>アンケン</t>
    </rPh>
    <rPh sb="2" eb="3">
      <t>ナ</t>
    </rPh>
    <phoneticPr fontId="1"/>
  </si>
  <si>
    <t>作成担当者</t>
    <rPh sb="0" eb="2">
      <t>サクセイ</t>
    </rPh>
    <rPh sb="2" eb="5">
      <t>タントウシャ</t>
    </rPh>
    <phoneticPr fontId="1"/>
  </si>
  <si>
    <t>更新担当者</t>
    <rPh sb="0" eb="2">
      <t>コウシン</t>
    </rPh>
    <rPh sb="2" eb="5">
      <t>タントウシャ</t>
    </rPh>
    <phoneticPr fontId="1"/>
  </si>
  <si>
    <t>作成年月日</t>
    <rPh sb="0" eb="2">
      <t>サクセイ</t>
    </rPh>
    <rPh sb="2" eb="5">
      <t>ネンガッピ</t>
    </rPh>
    <phoneticPr fontId="1"/>
  </si>
  <si>
    <t>更新年月日</t>
    <rPh sb="0" eb="2">
      <t>コウシン</t>
    </rPh>
    <rPh sb="2" eb="5">
      <t>ネンガッピ</t>
    </rPh>
    <phoneticPr fontId="1"/>
  </si>
  <si>
    <t>検印</t>
    <rPh sb="0" eb="2">
      <t>ケンイン</t>
    </rPh>
    <phoneticPr fontId="1"/>
  </si>
  <si>
    <t>ドキュメント名</t>
    <phoneticPr fontId="1"/>
  </si>
  <si>
    <t>EDU001</t>
    <phoneticPr fontId="1"/>
  </si>
  <si>
    <t>五嶋</t>
    <rPh sb="0" eb="2">
      <t>ゴトウ</t>
    </rPh>
    <phoneticPr fontId="1"/>
  </si>
  <si>
    <t>更新履歴</t>
    <rPh sb="0" eb="4">
      <t>コウシンリレキ</t>
    </rPh>
    <phoneticPr fontId="1"/>
  </si>
  <si>
    <t>No.</t>
    <phoneticPr fontId="1"/>
  </si>
  <si>
    <t>年月日</t>
    <rPh sb="0" eb="3">
      <t>ネンガッピ</t>
    </rPh>
    <phoneticPr fontId="1"/>
  </si>
  <si>
    <t>修正対象</t>
    <rPh sb="0" eb="2">
      <t>シュウセイ</t>
    </rPh>
    <rPh sb="2" eb="4">
      <t>タイショウ</t>
    </rPh>
    <phoneticPr fontId="1"/>
  </si>
  <si>
    <t>修正内容</t>
    <rPh sb="0" eb="4">
      <t>シュウセイナイヨウ</t>
    </rPh>
    <phoneticPr fontId="1"/>
  </si>
  <si>
    <t>担当者</t>
    <rPh sb="0" eb="3">
      <t>タントウシャ</t>
    </rPh>
    <phoneticPr fontId="1"/>
  </si>
  <si>
    <t>000</t>
    <phoneticPr fontId="1"/>
  </si>
  <si>
    <t>カラム名(論理)</t>
    <rPh sb="3" eb="4">
      <t>ナ</t>
    </rPh>
    <rPh sb="5" eb="7">
      <t>ロンリ</t>
    </rPh>
    <phoneticPr fontId="1"/>
  </si>
  <si>
    <t>カラム名(物理)</t>
    <rPh sb="5" eb="7">
      <t>ブツリ</t>
    </rPh>
    <phoneticPr fontId="1"/>
  </si>
  <si>
    <t>データ型</t>
    <rPh sb="3" eb="4">
      <t>カタ</t>
    </rPh>
    <phoneticPr fontId="1"/>
  </si>
  <si>
    <t>データ長</t>
    <rPh sb="3" eb="4">
      <t>チョウ</t>
    </rPh>
    <phoneticPr fontId="1"/>
  </si>
  <si>
    <t>PK</t>
    <phoneticPr fontId="1"/>
  </si>
  <si>
    <t>FK</t>
    <phoneticPr fontId="1"/>
  </si>
  <si>
    <t>NOT
NULL</t>
    <phoneticPr fontId="1"/>
  </si>
  <si>
    <t>制約</t>
    <rPh sb="0" eb="2">
      <t>セイヤク</t>
    </rPh>
    <phoneticPr fontId="1"/>
  </si>
  <si>
    <t>説明</t>
    <rPh sb="0" eb="2">
      <t>セツメイ</t>
    </rPh>
    <phoneticPr fontId="1"/>
  </si>
  <si>
    <t>テーブル定義書</t>
    <rPh sb="4" eb="7">
      <t>テイギ</t>
    </rPh>
    <phoneticPr fontId="1"/>
  </si>
  <si>
    <t>テーブル名4</t>
    <phoneticPr fontId="1"/>
  </si>
  <si>
    <t>002</t>
    <phoneticPr fontId="1"/>
  </si>
  <si>
    <t>003</t>
    <phoneticPr fontId="1"/>
  </si>
  <si>
    <t>004</t>
    <phoneticPr fontId="1"/>
  </si>
  <si>
    <t>在庫・売上管理システム</t>
    <phoneticPr fontId="1"/>
  </si>
  <si>
    <t>AWS 2nd</t>
    <phoneticPr fontId="1"/>
  </si>
  <si>
    <t>商品マスタ m_item</t>
    <rPh sb="0" eb="2">
      <t>ショウヒン</t>
    </rPh>
    <phoneticPr fontId="1"/>
  </si>
  <si>
    <t>id</t>
    <phoneticPr fontId="1"/>
  </si>
  <si>
    <t>long</t>
    <phoneticPr fontId="1"/>
  </si>
  <si>
    <t>◯</t>
    <phoneticPr fontId="1"/>
  </si>
  <si>
    <t>cd_item</t>
    <phoneticPr fontId="1"/>
  </si>
  <si>
    <t>商品コード</t>
    <rPh sb="0" eb="2">
      <t>ショウヒン</t>
    </rPh>
    <phoneticPr fontId="1"/>
  </si>
  <si>
    <t>tex</t>
    <phoneticPr fontId="1"/>
  </si>
  <si>
    <t>name</t>
    <phoneticPr fontId="1"/>
  </si>
  <si>
    <t>商品名</t>
    <rPh sb="0" eb="3">
      <t>ショウヒンメイ</t>
    </rPh>
    <phoneticPr fontId="1"/>
  </si>
  <si>
    <t>text</t>
    <phoneticPr fontId="1"/>
  </si>
  <si>
    <t>在庫マスタ m_inventory</t>
    <rPh sb="0" eb="2">
      <t>ザイコ</t>
    </rPh>
    <phoneticPr fontId="1"/>
  </si>
  <si>
    <t>count</t>
    <phoneticPr fontId="1"/>
  </si>
  <si>
    <t>price</t>
    <phoneticPr fontId="1"/>
  </si>
  <si>
    <t>金額</t>
    <rPh sb="0" eb="2">
      <t>キンガク</t>
    </rPh>
    <phoneticPr fontId="1"/>
  </si>
  <si>
    <t>date</t>
    <phoneticPr fontId="1"/>
  </si>
  <si>
    <t>char</t>
    <phoneticPr fontId="1"/>
  </si>
  <si>
    <t>YYYYMMDD</t>
    <phoneticPr fontId="1"/>
  </si>
  <si>
    <t>在庫数</t>
    <rPh sb="0" eb="3">
      <t>ザイコスウ</t>
    </rPh>
    <phoneticPr fontId="1"/>
  </si>
  <si>
    <t>integer</t>
    <phoneticPr fontId="1"/>
  </si>
  <si>
    <t>個数</t>
    <rPh sb="0" eb="2">
      <t>コスウ</t>
    </rPh>
    <phoneticPr fontId="1"/>
  </si>
  <si>
    <t>2024/05/07</t>
    <phoneticPr fontId="1"/>
  </si>
  <si>
    <t>日付</t>
    <rPh sb="0" eb="2">
      <t>ヒヅケ</t>
    </rPh>
    <phoneticPr fontId="1"/>
  </si>
  <si>
    <t>type</t>
    <phoneticPr fontId="1"/>
  </si>
  <si>
    <t>入出庫区分</t>
    <rPh sb="0" eb="5">
      <t>ニュウシュッコクブン</t>
    </rPh>
    <phoneticPr fontId="1"/>
  </si>
  <si>
    <t>1：入庫、2：出庫</t>
    <rPh sb="2" eb="4">
      <t>ニュウコ</t>
    </rPh>
    <rPh sb="7" eb="9">
      <t>シュッコ</t>
    </rPh>
    <phoneticPr fontId="1"/>
  </si>
  <si>
    <t>出庫はマイナス値とする</t>
    <rPh sb="0" eb="2">
      <t>シュッコ</t>
    </rPh>
    <rPh sb="7" eb="8">
      <t>アタイ</t>
    </rPh>
    <phoneticPr fontId="1"/>
  </si>
  <si>
    <t>total_price</t>
    <phoneticPr fontId="1"/>
  </si>
  <si>
    <t>入庫総数</t>
    <rPh sb="0" eb="2">
      <t>ニュウコ</t>
    </rPh>
    <rPh sb="2" eb="4">
      <t>ソウスウ</t>
    </rPh>
    <phoneticPr fontId="1"/>
  </si>
  <si>
    <t>累計金額</t>
    <rPh sb="0" eb="2">
      <t>ルイケイ</t>
    </rPh>
    <rPh sb="2" eb="4">
      <t>キンガク</t>
    </rPh>
    <phoneticPr fontId="1"/>
  </si>
  <si>
    <t>カラム名(物理)</t>
    <rPh sb="3" eb="4">
      <t>ナ</t>
    </rPh>
    <phoneticPr fontId="1"/>
  </si>
  <si>
    <t>カラム名(論理)</t>
    <rPh sb="5" eb="7">
      <t>ロンリ</t>
    </rPh>
    <phoneticPr fontId="1"/>
  </si>
  <si>
    <t>カラム名(論理)</t>
    <phoneticPr fontId="1"/>
  </si>
  <si>
    <t>total_count</t>
    <phoneticPr fontId="1"/>
  </si>
  <si>
    <t>入出庫トランザクション t_inventory</t>
    <rPh sb="0" eb="3">
      <t>ニュウシュッコ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</si>
</sst>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5" xfId="0" applyFont="1" applyFill="1" applyBorder="1">
      <alignment vertical="center"/>
    </xf>
    <xf numFmtId="0" fontId="3" fillId="0" borderId="0" xfId="0" applyFont="1">
      <alignment vertical="center"/>
    </xf>
    <xf numFmtId="0" fontId="3" fillId="0" borderId="5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2" fillId="0" borderId="5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B630D-942C-45FD-A156-A463B16974F5}">
  <dimension ref="A1:AO22"/>
  <sheetViews>
    <sheetView workbookViewId="0">
      <selection activeCell="AX12" sqref="AX12"/>
    </sheetView>
  </sheetViews>
  <sheetFormatPr defaultColWidth="3.25" defaultRowHeight="15.75" x14ac:dyDescent="0.4"/>
  <cols>
    <col min="1" max="16384" width="3.25" style="1"/>
  </cols>
  <sheetData>
    <row r="1" spans="1:41" x14ac:dyDescent="0.4">
      <c r="A1" s="11" t="s">
        <v>0</v>
      </c>
      <c r="B1" s="12"/>
      <c r="C1" s="12"/>
      <c r="D1" s="12"/>
      <c r="E1" s="12"/>
      <c r="F1" s="12" t="s">
        <v>4</v>
      </c>
      <c r="G1" s="12"/>
      <c r="H1" s="12"/>
      <c r="I1" s="12"/>
      <c r="J1" s="12"/>
      <c r="K1" s="12"/>
      <c r="L1" s="12"/>
      <c r="M1" s="12"/>
      <c r="N1" s="12"/>
      <c r="O1" s="12"/>
      <c r="P1" s="12" t="s">
        <v>10</v>
      </c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 t="s">
        <v>5</v>
      </c>
      <c r="AE1" s="12"/>
      <c r="AF1" s="12"/>
      <c r="AG1" s="12"/>
      <c r="AH1" s="12" t="s">
        <v>7</v>
      </c>
      <c r="AI1" s="12"/>
      <c r="AJ1" s="12"/>
      <c r="AK1" s="12"/>
      <c r="AL1" s="12" t="s">
        <v>9</v>
      </c>
      <c r="AM1" s="12"/>
      <c r="AN1" s="12"/>
      <c r="AO1" s="13"/>
    </row>
    <row r="2" spans="1:41" ht="28.5" customHeight="1" x14ac:dyDescent="0.4">
      <c r="A2" s="9" t="str">
        <f>案件番号</f>
        <v>EDU001</v>
      </c>
      <c r="B2" s="10"/>
      <c r="C2" s="10"/>
      <c r="D2" s="10"/>
      <c r="E2" s="10"/>
      <c r="F2" s="10" t="str" cm="1">
        <f t="array" ref="F2">案件名</f>
        <v>AWS 2nd</v>
      </c>
      <c r="G2" s="10"/>
      <c r="H2" s="10"/>
      <c r="I2" s="10"/>
      <c r="J2" s="10"/>
      <c r="K2" s="10"/>
      <c r="L2" s="10"/>
      <c r="M2" s="10"/>
      <c r="N2" s="10"/>
      <c r="O2" s="10"/>
      <c r="P2" s="10" t="str">
        <f>ドキュメント名</f>
        <v>テーブル定義書</v>
      </c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 t="str">
        <f>作成担当者</f>
        <v>五嶋</v>
      </c>
      <c r="AE2" s="10"/>
      <c r="AF2" s="10"/>
      <c r="AG2" s="10"/>
      <c r="AH2" s="16" t="str">
        <f>作成年月日</f>
        <v>2024/05/07</v>
      </c>
      <c r="AI2" s="16"/>
      <c r="AJ2" s="16"/>
      <c r="AK2" s="16"/>
      <c r="AL2" s="5"/>
      <c r="AM2" s="5"/>
      <c r="AN2" s="5"/>
      <c r="AO2" s="6"/>
    </row>
    <row r="3" spans="1:41" x14ac:dyDescent="0.4">
      <c r="A3" s="9" t="s">
        <v>2</v>
      </c>
      <c r="B3" s="10"/>
      <c r="C3" s="10"/>
      <c r="D3" s="10"/>
      <c r="E3" s="10"/>
      <c r="F3" s="10" t="s">
        <v>1</v>
      </c>
      <c r="G3" s="10"/>
      <c r="H3" s="10"/>
      <c r="I3" s="10"/>
      <c r="J3" s="10"/>
      <c r="K3" s="10"/>
      <c r="L3" s="10"/>
      <c r="M3" s="10"/>
      <c r="N3" s="10"/>
      <c r="O3" s="10"/>
      <c r="P3" s="10" t="s">
        <v>3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 t="s">
        <v>6</v>
      </c>
      <c r="AE3" s="10"/>
      <c r="AF3" s="10"/>
      <c r="AG3" s="10"/>
      <c r="AH3" s="10" t="s">
        <v>8</v>
      </c>
      <c r="AI3" s="10"/>
      <c r="AJ3" s="10"/>
      <c r="AK3" s="10"/>
      <c r="AL3" s="5"/>
      <c r="AM3" s="5"/>
      <c r="AN3" s="5"/>
      <c r="AO3" s="6"/>
    </row>
    <row r="4" spans="1:41" ht="28.5" customHeight="1" thickBot="1" x14ac:dyDescent="0.45">
      <c r="A4" s="14" t="s">
        <v>19</v>
      </c>
      <c r="B4" s="15"/>
      <c r="C4" s="15"/>
      <c r="D4" s="15"/>
      <c r="E4" s="15"/>
      <c r="F4" s="15" t="str">
        <f>プロジェクト名</f>
        <v>在庫・売上管理システム</v>
      </c>
      <c r="G4" s="15"/>
      <c r="H4" s="15"/>
      <c r="I4" s="15"/>
      <c r="J4" s="15"/>
      <c r="K4" s="15"/>
      <c r="L4" s="15"/>
      <c r="M4" s="15"/>
      <c r="N4" s="15"/>
      <c r="O4" s="15"/>
      <c r="P4" s="15" t="s">
        <v>13</v>
      </c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7"/>
      <c r="AM4" s="7"/>
      <c r="AN4" s="7"/>
      <c r="AO4" s="8"/>
    </row>
    <row r="6" spans="1:41" ht="21.75" customHeight="1" x14ac:dyDescent="0.4">
      <c r="A6" s="17" t="s">
        <v>14</v>
      </c>
      <c r="B6" s="19"/>
      <c r="C6" s="17" t="s">
        <v>15</v>
      </c>
      <c r="D6" s="18"/>
      <c r="E6" s="18"/>
      <c r="F6" s="19"/>
      <c r="G6" s="17" t="s">
        <v>16</v>
      </c>
      <c r="H6" s="18"/>
      <c r="I6" s="18"/>
      <c r="J6" s="18"/>
      <c r="K6" s="18"/>
      <c r="L6" s="18"/>
      <c r="M6" s="18"/>
      <c r="N6" s="19"/>
      <c r="O6" s="17" t="s">
        <v>17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9"/>
      <c r="AM6" s="17" t="s">
        <v>18</v>
      </c>
      <c r="AN6" s="18"/>
      <c r="AO6" s="19"/>
    </row>
    <row r="7" spans="1:41" ht="21.75" customHeight="1" x14ac:dyDescent="0.4">
      <c r="A7" s="20"/>
      <c r="B7" s="21"/>
      <c r="C7" s="20"/>
      <c r="D7" s="22"/>
      <c r="E7" s="22"/>
      <c r="F7" s="21"/>
      <c r="G7" s="20"/>
      <c r="H7" s="22"/>
      <c r="I7" s="22"/>
      <c r="J7" s="22"/>
      <c r="K7" s="22"/>
      <c r="L7" s="22"/>
      <c r="M7" s="22"/>
      <c r="N7" s="21"/>
      <c r="O7" s="20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1"/>
      <c r="AM7" s="20"/>
      <c r="AN7" s="22"/>
      <c r="AO7" s="21"/>
    </row>
    <row r="8" spans="1:41" ht="21.75" customHeight="1" x14ac:dyDescent="0.4">
      <c r="A8" s="20"/>
      <c r="B8" s="21"/>
      <c r="C8" s="20"/>
      <c r="D8" s="22"/>
      <c r="E8" s="22"/>
      <c r="F8" s="21"/>
      <c r="G8" s="20"/>
      <c r="H8" s="22"/>
      <c r="I8" s="22"/>
      <c r="J8" s="22"/>
      <c r="K8" s="22"/>
      <c r="L8" s="22"/>
      <c r="M8" s="22"/>
      <c r="N8" s="21"/>
      <c r="O8" s="20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1"/>
      <c r="AM8" s="20"/>
      <c r="AN8" s="22"/>
      <c r="AO8" s="21"/>
    </row>
    <row r="9" spans="1:41" ht="21.75" customHeight="1" x14ac:dyDescent="0.4">
      <c r="A9" s="20"/>
      <c r="B9" s="21"/>
      <c r="C9" s="20"/>
      <c r="D9" s="22"/>
      <c r="E9" s="22"/>
      <c r="F9" s="21"/>
      <c r="G9" s="20"/>
      <c r="H9" s="22"/>
      <c r="I9" s="22"/>
      <c r="J9" s="22"/>
      <c r="K9" s="22"/>
      <c r="L9" s="22"/>
      <c r="M9" s="22"/>
      <c r="N9" s="21"/>
      <c r="O9" s="20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1"/>
      <c r="AM9" s="20"/>
      <c r="AN9" s="22"/>
      <c r="AO9" s="21"/>
    </row>
    <row r="10" spans="1:41" ht="21.75" customHeight="1" x14ac:dyDescent="0.4">
      <c r="A10" s="20"/>
      <c r="B10" s="21"/>
      <c r="C10" s="20"/>
      <c r="D10" s="22"/>
      <c r="E10" s="22"/>
      <c r="F10" s="21"/>
      <c r="G10" s="20"/>
      <c r="H10" s="22"/>
      <c r="I10" s="22"/>
      <c r="J10" s="22"/>
      <c r="K10" s="22"/>
      <c r="L10" s="22"/>
      <c r="M10" s="22"/>
      <c r="N10" s="21"/>
      <c r="O10" s="20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1"/>
      <c r="AM10" s="20"/>
      <c r="AN10" s="22"/>
      <c r="AO10" s="21"/>
    </row>
    <row r="11" spans="1:41" ht="21.75" customHeight="1" x14ac:dyDescent="0.4">
      <c r="A11" s="20"/>
      <c r="B11" s="21"/>
      <c r="C11" s="20"/>
      <c r="D11" s="22"/>
      <c r="E11" s="22"/>
      <c r="F11" s="21"/>
      <c r="G11" s="20"/>
      <c r="H11" s="22"/>
      <c r="I11" s="22"/>
      <c r="J11" s="22"/>
      <c r="K11" s="22"/>
      <c r="L11" s="22"/>
      <c r="M11" s="22"/>
      <c r="N11" s="21"/>
      <c r="O11" s="20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1"/>
      <c r="AM11" s="20"/>
      <c r="AN11" s="22"/>
      <c r="AO11" s="21"/>
    </row>
    <row r="12" spans="1:41" ht="21.75" customHeight="1" x14ac:dyDescent="0.4">
      <c r="A12" s="20"/>
      <c r="B12" s="21"/>
      <c r="C12" s="20"/>
      <c r="D12" s="22"/>
      <c r="E12" s="22"/>
      <c r="F12" s="21"/>
      <c r="G12" s="20"/>
      <c r="H12" s="22"/>
      <c r="I12" s="22"/>
      <c r="J12" s="22"/>
      <c r="K12" s="22"/>
      <c r="L12" s="22"/>
      <c r="M12" s="22"/>
      <c r="N12" s="21"/>
      <c r="O12" s="20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1"/>
      <c r="AM12" s="20"/>
      <c r="AN12" s="22"/>
      <c r="AO12" s="21"/>
    </row>
    <row r="13" spans="1:41" ht="21.75" customHeight="1" x14ac:dyDescent="0.4">
      <c r="A13" s="20"/>
      <c r="B13" s="21"/>
      <c r="C13" s="20"/>
      <c r="D13" s="22"/>
      <c r="E13" s="22"/>
      <c r="F13" s="21"/>
      <c r="G13" s="20"/>
      <c r="H13" s="22"/>
      <c r="I13" s="22"/>
      <c r="J13" s="22"/>
      <c r="K13" s="22"/>
      <c r="L13" s="22"/>
      <c r="M13" s="22"/>
      <c r="N13" s="21"/>
      <c r="O13" s="20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1"/>
      <c r="AM13" s="20"/>
      <c r="AN13" s="22"/>
      <c r="AO13" s="21"/>
    </row>
    <row r="14" spans="1:41" ht="21.75" customHeight="1" x14ac:dyDescent="0.4">
      <c r="A14" s="20"/>
      <c r="B14" s="21"/>
      <c r="C14" s="20"/>
      <c r="D14" s="22"/>
      <c r="E14" s="22"/>
      <c r="F14" s="21"/>
      <c r="G14" s="20"/>
      <c r="H14" s="22"/>
      <c r="I14" s="22"/>
      <c r="J14" s="22"/>
      <c r="K14" s="22"/>
      <c r="L14" s="22"/>
      <c r="M14" s="22"/>
      <c r="N14" s="21"/>
      <c r="O14" s="20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1"/>
      <c r="AM14" s="20"/>
      <c r="AN14" s="22"/>
      <c r="AO14" s="21"/>
    </row>
    <row r="15" spans="1:41" ht="21.75" customHeight="1" x14ac:dyDescent="0.4">
      <c r="A15" s="20"/>
      <c r="B15" s="21"/>
      <c r="C15" s="20"/>
      <c r="D15" s="22"/>
      <c r="E15" s="22"/>
      <c r="F15" s="21"/>
      <c r="G15" s="20"/>
      <c r="H15" s="22"/>
      <c r="I15" s="22"/>
      <c r="J15" s="22"/>
      <c r="K15" s="22"/>
      <c r="L15" s="22"/>
      <c r="M15" s="22"/>
      <c r="N15" s="21"/>
      <c r="O15" s="20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1"/>
      <c r="AM15" s="20"/>
      <c r="AN15" s="22"/>
      <c r="AO15" s="21"/>
    </row>
    <row r="16" spans="1:41" ht="21.75" customHeight="1" x14ac:dyDescent="0.4">
      <c r="A16" s="20"/>
      <c r="B16" s="21"/>
      <c r="C16" s="20"/>
      <c r="D16" s="22"/>
      <c r="E16" s="22"/>
      <c r="F16" s="21"/>
      <c r="G16" s="20"/>
      <c r="H16" s="22"/>
      <c r="I16" s="22"/>
      <c r="J16" s="22"/>
      <c r="K16" s="22"/>
      <c r="L16" s="22"/>
      <c r="M16" s="22"/>
      <c r="N16" s="21"/>
      <c r="O16" s="20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1"/>
      <c r="AM16" s="20"/>
      <c r="AN16" s="22"/>
      <c r="AO16" s="21"/>
    </row>
    <row r="17" spans="1:41" ht="21.75" customHeight="1" x14ac:dyDescent="0.4">
      <c r="A17" s="20"/>
      <c r="B17" s="21"/>
      <c r="C17" s="20"/>
      <c r="D17" s="22"/>
      <c r="E17" s="22"/>
      <c r="F17" s="21"/>
      <c r="G17" s="20"/>
      <c r="H17" s="22"/>
      <c r="I17" s="22"/>
      <c r="J17" s="22"/>
      <c r="K17" s="22"/>
      <c r="L17" s="22"/>
      <c r="M17" s="22"/>
      <c r="N17" s="21"/>
      <c r="O17" s="20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1"/>
      <c r="AM17" s="20"/>
      <c r="AN17" s="22"/>
      <c r="AO17" s="21"/>
    </row>
    <row r="18" spans="1:41" ht="21.75" customHeight="1" x14ac:dyDescent="0.4">
      <c r="A18" s="20"/>
      <c r="B18" s="21"/>
      <c r="C18" s="20"/>
      <c r="D18" s="22"/>
      <c r="E18" s="22"/>
      <c r="F18" s="21"/>
      <c r="G18" s="20"/>
      <c r="H18" s="22"/>
      <c r="I18" s="22"/>
      <c r="J18" s="22"/>
      <c r="K18" s="22"/>
      <c r="L18" s="22"/>
      <c r="M18" s="22"/>
      <c r="N18" s="21"/>
      <c r="O18" s="20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1"/>
      <c r="AM18" s="20"/>
      <c r="AN18" s="22"/>
      <c r="AO18" s="21"/>
    </row>
    <row r="19" spans="1:41" ht="21.75" customHeight="1" x14ac:dyDescent="0.4">
      <c r="A19" s="20"/>
      <c r="B19" s="21"/>
      <c r="C19" s="20"/>
      <c r="D19" s="22"/>
      <c r="E19" s="22"/>
      <c r="F19" s="21"/>
      <c r="G19" s="20"/>
      <c r="H19" s="22"/>
      <c r="I19" s="22"/>
      <c r="J19" s="22"/>
      <c r="K19" s="22"/>
      <c r="L19" s="22"/>
      <c r="M19" s="22"/>
      <c r="N19" s="21"/>
      <c r="O19" s="20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1"/>
      <c r="AM19" s="20"/>
      <c r="AN19" s="22"/>
      <c r="AO19" s="21"/>
    </row>
    <row r="20" spans="1:41" ht="21.75" customHeight="1" x14ac:dyDescent="0.4">
      <c r="A20" s="20"/>
      <c r="B20" s="21"/>
      <c r="C20" s="20"/>
      <c r="D20" s="22"/>
      <c r="E20" s="22"/>
      <c r="F20" s="21"/>
      <c r="G20" s="20"/>
      <c r="H20" s="22"/>
      <c r="I20" s="22"/>
      <c r="J20" s="22"/>
      <c r="K20" s="22"/>
      <c r="L20" s="22"/>
      <c r="M20" s="22"/>
      <c r="N20" s="21"/>
      <c r="O20" s="20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1"/>
      <c r="AM20" s="20"/>
      <c r="AN20" s="22"/>
      <c r="AO20" s="21"/>
    </row>
    <row r="21" spans="1:41" ht="21.75" customHeight="1" x14ac:dyDescent="0.4">
      <c r="A21" s="20"/>
      <c r="B21" s="21"/>
      <c r="C21" s="20"/>
      <c r="D21" s="22"/>
      <c r="E21" s="22"/>
      <c r="F21" s="21"/>
      <c r="G21" s="20"/>
      <c r="H21" s="22"/>
      <c r="I21" s="22"/>
      <c r="J21" s="22"/>
      <c r="K21" s="22"/>
      <c r="L21" s="22"/>
      <c r="M21" s="22"/>
      <c r="N21" s="21"/>
      <c r="O21" s="20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1"/>
      <c r="AM21" s="20"/>
      <c r="AN21" s="22"/>
      <c r="AO21" s="21"/>
    </row>
    <row r="22" spans="1:41" ht="21.75" customHeight="1" x14ac:dyDescent="0.4">
      <c r="A22" s="20"/>
      <c r="B22" s="21"/>
      <c r="C22" s="20"/>
      <c r="D22" s="22"/>
      <c r="E22" s="22"/>
      <c r="F22" s="21"/>
      <c r="G22" s="20"/>
      <c r="H22" s="22"/>
      <c r="I22" s="22"/>
      <c r="J22" s="22"/>
      <c r="K22" s="22"/>
      <c r="L22" s="22"/>
      <c r="M22" s="22"/>
      <c r="N22" s="21"/>
      <c r="O22" s="20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1"/>
      <c r="AM22" s="20"/>
      <c r="AN22" s="22"/>
      <c r="AO22" s="21"/>
    </row>
  </sheetData>
  <mergeCells count="107">
    <mergeCell ref="A22:B22"/>
    <mergeCell ref="C22:F22"/>
    <mergeCell ref="G22:N22"/>
    <mergeCell ref="O22:AL22"/>
    <mergeCell ref="AM22:AO22"/>
    <mergeCell ref="A20:B20"/>
    <mergeCell ref="C20:F20"/>
    <mergeCell ref="G20:N20"/>
    <mergeCell ref="O20:AL20"/>
    <mergeCell ref="AM20:AO20"/>
    <mergeCell ref="A21:B21"/>
    <mergeCell ref="C21:F21"/>
    <mergeCell ref="G21:N21"/>
    <mergeCell ref="O21:AL21"/>
    <mergeCell ref="AM21:AO21"/>
    <mergeCell ref="A18:B18"/>
    <mergeCell ref="C18:F18"/>
    <mergeCell ref="G18:N18"/>
    <mergeCell ref="O18:AL18"/>
    <mergeCell ref="AM18:AO18"/>
    <mergeCell ref="A19:B19"/>
    <mergeCell ref="C19:F19"/>
    <mergeCell ref="G19:N19"/>
    <mergeCell ref="O19:AL19"/>
    <mergeCell ref="AM19:AO19"/>
    <mergeCell ref="A16:B16"/>
    <mergeCell ref="C16:F16"/>
    <mergeCell ref="G16:N16"/>
    <mergeCell ref="O16:AL16"/>
    <mergeCell ref="AM16:AO16"/>
    <mergeCell ref="A17:B17"/>
    <mergeCell ref="C17:F17"/>
    <mergeCell ref="G17:N17"/>
    <mergeCell ref="O17:AL17"/>
    <mergeCell ref="AM17:AO17"/>
    <mergeCell ref="A14:B14"/>
    <mergeCell ref="C14:F14"/>
    <mergeCell ref="G14:N14"/>
    <mergeCell ref="O14:AL14"/>
    <mergeCell ref="AM14:AO14"/>
    <mergeCell ref="A15:B15"/>
    <mergeCell ref="C15:F15"/>
    <mergeCell ref="G15:N15"/>
    <mergeCell ref="O15:AL15"/>
    <mergeCell ref="AM15:AO15"/>
    <mergeCell ref="A12:B12"/>
    <mergeCell ref="C12:F12"/>
    <mergeCell ref="G12:N12"/>
    <mergeCell ref="O12:AL12"/>
    <mergeCell ref="AM12:AO12"/>
    <mergeCell ref="A13:B13"/>
    <mergeCell ref="C13:F13"/>
    <mergeCell ref="G13:N13"/>
    <mergeCell ref="O13:AL13"/>
    <mergeCell ref="AM13:AO13"/>
    <mergeCell ref="A10:B10"/>
    <mergeCell ref="C10:F10"/>
    <mergeCell ref="G10:N10"/>
    <mergeCell ref="O10:AL10"/>
    <mergeCell ref="AM10:AO10"/>
    <mergeCell ref="A11:B11"/>
    <mergeCell ref="C11:F11"/>
    <mergeCell ref="G11:N11"/>
    <mergeCell ref="O11:AL11"/>
    <mergeCell ref="AM11:AO11"/>
    <mergeCell ref="A8:B8"/>
    <mergeCell ref="C8:F8"/>
    <mergeCell ref="G8:N8"/>
    <mergeCell ref="O8:AL8"/>
    <mergeCell ref="AM8:AO8"/>
    <mergeCell ref="A9:B9"/>
    <mergeCell ref="C9:F9"/>
    <mergeCell ref="G9:N9"/>
    <mergeCell ref="O9:AL9"/>
    <mergeCell ref="AM9:AO9"/>
    <mergeCell ref="AM6:AO6"/>
    <mergeCell ref="A7:B7"/>
    <mergeCell ref="C7:F7"/>
    <mergeCell ref="G7:N7"/>
    <mergeCell ref="O7:AL7"/>
    <mergeCell ref="AM7:AO7"/>
    <mergeCell ref="A6:B6"/>
    <mergeCell ref="C6:F6"/>
    <mergeCell ref="G6:N6"/>
    <mergeCell ref="O6:AL6"/>
    <mergeCell ref="AL2:AO4"/>
    <mergeCell ref="A3:E3"/>
    <mergeCell ref="F3:O3"/>
    <mergeCell ref="P3:AC3"/>
    <mergeCell ref="AD3:AG3"/>
    <mergeCell ref="A1:E1"/>
    <mergeCell ref="F1:O1"/>
    <mergeCell ref="P1:AC1"/>
    <mergeCell ref="AD1:AG1"/>
    <mergeCell ref="AH1:AK1"/>
    <mergeCell ref="AL1:AO1"/>
    <mergeCell ref="AH3:AK3"/>
    <mergeCell ref="A4:E4"/>
    <mergeCell ref="F4:O4"/>
    <mergeCell ref="P4:AC4"/>
    <mergeCell ref="AD4:AG4"/>
    <mergeCell ref="AH4:AK4"/>
    <mergeCell ref="A2:E2"/>
    <mergeCell ref="F2:O2"/>
    <mergeCell ref="P2:AC2"/>
    <mergeCell ref="AD2:AG2"/>
    <mergeCell ref="AH2:AK2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5A40F-76FF-4A9B-949C-77007F835516}">
  <dimension ref="A1:AO28"/>
  <sheetViews>
    <sheetView workbookViewId="0">
      <selection activeCell="H24" sqref="H24:N24"/>
    </sheetView>
  </sheetViews>
  <sheetFormatPr defaultColWidth="3.25" defaultRowHeight="15.75" x14ac:dyDescent="0.4"/>
  <cols>
    <col min="1" max="16384" width="3.25" style="1"/>
  </cols>
  <sheetData>
    <row r="1" spans="1:41" x14ac:dyDescent="0.4">
      <c r="A1" s="11" t="s">
        <v>0</v>
      </c>
      <c r="B1" s="12"/>
      <c r="C1" s="12"/>
      <c r="D1" s="12"/>
      <c r="E1" s="12"/>
      <c r="F1" s="12" t="s">
        <v>4</v>
      </c>
      <c r="G1" s="12"/>
      <c r="H1" s="12"/>
      <c r="I1" s="12"/>
      <c r="J1" s="12"/>
      <c r="K1" s="12"/>
      <c r="L1" s="12"/>
      <c r="M1" s="12"/>
      <c r="N1" s="12"/>
      <c r="O1" s="12"/>
      <c r="P1" s="12" t="s">
        <v>10</v>
      </c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 t="s">
        <v>5</v>
      </c>
      <c r="AE1" s="12"/>
      <c r="AF1" s="12"/>
      <c r="AG1" s="12"/>
      <c r="AH1" s="12" t="s">
        <v>7</v>
      </c>
      <c r="AI1" s="12"/>
      <c r="AJ1" s="12"/>
      <c r="AK1" s="12"/>
      <c r="AL1" s="12" t="s">
        <v>9</v>
      </c>
      <c r="AM1" s="12"/>
      <c r="AN1" s="12"/>
      <c r="AO1" s="13"/>
    </row>
    <row r="2" spans="1:41" ht="28.5" customHeight="1" x14ac:dyDescent="0.4">
      <c r="A2" s="9" t="str">
        <f>案件番号</f>
        <v>EDU001</v>
      </c>
      <c r="B2" s="10"/>
      <c r="C2" s="10"/>
      <c r="D2" s="10"/>
      <c r="E2" s="10"/>
      <c r="F2" s="10" t="str" cm="1">
        <f t="array" ref="F2">案件名</f>
        <v>AWS 2nd</v>
      </c>
      <c r="G2" s="10"/>
      <c r="H2" s="10"/>
      <c r="I2" s="10"/>
      <c r="J2" s="10"/>
      <c r="K2" s="10"/>
      <c r="L2" s="10"/>
      <c r="M2" s="10"/>
      <c r="N2" s="10"/>
      <c r="O2" s="10"/>
      <c r="P2" s="10" t="str">
        <f>ドキュメント名</f>
        <v>テーブル定義書</v>
      </c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 t="str">
        <f>作成担当者</f>
        <v>五嶋</v>
      </c>
      <c r="AE2" s="10"/>
      <c r="AF2" s="10"/>
      <c r="AG2" s="10"/>
      <c r="AH2" s="16" t="str">
        <f>作成年月日</f>
        <v>2024/05/07</v>
      </c>
      <c r="AI2" s="16"/>
      <c r="AJ2" s="16"/>
      <c r="AK2" s="16"/>
      <c r="AL2" s="5"/>
      <c r="AM2" s="5"/>
      <c r="AN2" s="5"/>
      <c r="AO2" s="6"/>
    </row>
    <row r="3" spans="1:41" x14ac:dyDescent="0.4">
      <c r="A3" s="9" t="s">
        <v>2</v>
      </c>
      <c r="B3" s="10"/>
      <c r="C3" s="10"/>
      <c r="D3" s="10"/>
      <c r="E3" s="10"/>
      <c r="F3" s="10" t="s">
        <v>1</v>
      </c>
      <c r="G3" s="10"/>
      <c r="H3" s="10"/>
      <c r="I3" s="10"/>
      <c r="J3" s="10"/>
      <c r="K3" s="10"/>
      <c r="L3" s="10"/>
      <c r="M3" s="10"/>
      <c r="N3" s="10"/>
      <c r="O3" s="10"/>
      <c r="P3" s="10" t="s">
        <v>3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 t="s">
        <v>6</v>
      </c>
      <c r="AE3" s="10"/>
      <c r="AF3" s="10"/>
      <c r="AG3" s="10"/>
      <c r="AH3" s="10" t="s">
        <v>8</v>
      </c>
      <c r="AI3" s="10"/>
      <c r="AJ3" s="10"/>
      <c r="AK3" s="10"/>
      <c r="AL3" s="5"/>
      <c r="AM3" s="5"/>
      <c r="AN3" s="5"/>
      <c r="AO3" s="6"/>
    </row>
    <row r="4" spans="1:41" ht="28.5" customHeight="1" thickBot="1" x14ac:dyDescent="0.45">
      <c r="A4" s="14" t="s">
        <v>31</v>
      </c>
      <c r="B4" s="15"/>
      <c r="C4" s="15"/>
      <c r="D4" s="15"/>
      <c r="E4" s="15"/>
      <c r="F4" s="15" t="str">
        <f>プロジェクト名</f>
        <v>在庫・売上管理システム</v>
      </c>
      <c r="G4" s="15"/>
      <c r="H4" s="15"/>
      <c r="I4" s="15"/>
      <c r="J4" s="15"/>
      <c r="K4" s="15"/>
      <c r="L4" s="15"/>
      <c r="M4" s="15"/>
      <c r="N4" s="15"/>
      <c r="O4" s="15"/>
      <c r="P4" s="15" t="s">
        <v>36</v>
      </c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7"/>
      <c r="AM4" s="7"/>
      <c r="AN4" s="7"/>
      <c r="AO4" s="8"/>
    </row>
    <row r="6" spans="1:41" s="3" customFormat="1" ht="27" customHeight="1" x14ac:dyDescent="0.4">
      <c r="A6" s="27" t="s">
        <v>14</v>
      </c>
      <c r="B6" s="27"/>
      <c r="C6" s="26" t="s">
        <v>65</v>
      </c>
      <c r="D6" s="26"/>
      <c r="E6" s="26"/>
      <c r="F6" s="26"/>
      <c r="G6" s="26"/>
      <c r="H6" s="26" t="s">
        <v>67</v>
      </c>
      <c r="I6" s="26"/>
      <c r="J6" s="26"/>
      <c r="K6" s="26"/>
      <c r="L6" s="26"/>
      <c r="M6" s="26"/>
      <c r="N6" s="26"/>
      <c r="O6" s="26" t="s">
        <v>22</v>
      </c>
      <c r="P6" s="26"/>
      <c r="Q6" s="26"/>
      <c r="R6" s="26" t="s">
        <v>23</v>
      </c>
      <c r="S6" s="26"/>
      <c r="T6" s="26"/>
      <c r="U6" s="2" t="s">
        <v>24</v>
      </c>
      <c r="V6" s="2" t="s">
        <v>25</v>
      </c>
      <c r="W6" s="28" t="s">
        <v>26</v>
      </c>
      <c r="X6" s="27"/>
      <c r="Y6" s="26" t="s">
        <v>27</v>
      </c>
      <c r="Z6" s="26"/>
      <c r="AA6" s="26"/>
      <c r="AB6" s="26" t="s">
        <v>28</v>
      </c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</row>
    <row r="7" spans="1:41" s="3" customFormat="1" ht="14.25" x14ac:dyDescent="0.4">
      <c r="A7" s="24"/>
      <c r="B7" s="24"/>
      <c r="C7" s="23" t="s">
        <v>37</v>
      </c>
      <c r="D7" s="23"/>
      <c r="E7" s="23"/>
      <c r="F7" s="23"/>
      <c r="G7" s="23"/>
      <c r="H7" s="23" t="s">
        <v>37</v>
      </c>
      <c r="I7" s="23"/>
      <c r="J7" s="23"/>
      <c r="K7" s="23"/>
      <c r="L7" s="23"/>
      <c r="M7" s="23"/>
      <c r="N7" s="23"/>
      <c r="O7" s="23" t="s">
        <v>38</v>
      </c>
      <c r="P7" s="23"/>
      <c r="Q7" s="23"/>
      <c r="R7" s="23"/>
      <c r="S7" s="23"/>
      <c r="T7" s="23"/>
      <c r="U7" s="4" t="s">
        <v>39</v>
      </c>
      <c r="V7" s="4"/>
      <c r="W7" s="25"/>
      <c r="X7" s="24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s="3" customFormat="1" ht="14.25" x14ac:dyDescent="0.4">
      <c r="A8" s="24"/>
      <c r="B8" s="24"/>
      <c r="C8" s="23" t="s">
        <v>40</v>
      </c>
      <c r="D8" s="23"/>
      <c r="E8" s="23"/>
      <c r="F8" s="23"/>
      <c r="G8" s="23"/>
      <c r="H8" s="23" t="s">
        <v>41</v>
      </c>
      <c r="I8" s="23"/>
      <c r="J8" s="23"/>
      <c r="K8" s="23"/>
      <c r="L8" s="23"/>
      <c r="M8" s="23"/>
      <c r="N8" s="23"/>
      <c r="O8" s="23" t="s">
        <v>42</v>
      </c>
      <c r="P8" s="23"/>
      <c r="Q8" s="23"/>
      <c r="R8" s="23"/>
      <c r="S8" s="23"/>
      <c r="T8" s="23"/>
      <c r="U8" s="4"/>
      <c r="V8" s="4"/>
      <c r="W8" s="25"/>
      <c r="X8" s="24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</row>
    <row r="9" spans="1:41" s="3" customFormat="1" ht="14.25" x14ac:dyDescent="0.4">
      <c r="A9" s="24"/>
      <c r="B9" s="24"/>
      <c r="C9" s="23" t="s">
        <v>43</v>
      </c>
      <c r="D9" s="23"/>
      <c r="E9" s="23"/>
      <c r="F9" s="23"/>
      <c r="G9" s="23"/>
      <c r="H9" s="23" t="s">
        <v>44</v>
      </c>
      <c r="I9" s="23"/>
      <c r="J9" s="23"/>
      <c r="K9" s="23"/>
      <c r="L9" s="23"/>
      <c r="M9" s="23"/>
      <c r="N9" s="23"/>
      <c r="O9" s="23" t="s">
        <v>45</v>
      </c>
      <c r="P9" s="23"/>
      <c r="Q9" s="23"/>
      <c r="R9" s="23"/>
      <c r="S9" s="23"/>
      <c r="T9" s="23"/>
      <c r="U9" s="4"/>
      <c r="V9" s="4"/>
      <c r="W9" s="25"/>
      <c r="X9" s="24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</row>
    <row r="10" spans="1:41" s="3" customFormat="1" ht="14.25" x14ac:dyDescent="0.4">
      <c r="A10" s="24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4"/>
      <c r="V10" s="4"/>
      <c r="W10" s="25"/>
      <c r="X10" s="24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</row>
    <row r="11" spans="1:41" s="3" customFormat="1" ht="14.25" x14ac:dyDescent="0.4">
      <c r="A11" s="24"/>
      <c r="B11" s="24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4"/>
      <c r="V11" s="4"/>
      <c r="W11" s="25"/>
      <c r="X11" s="24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s="3" customFormat="1" ht="14.25" x14ac:dyDescent="0.4">
      <c r="A12" s="24"/>
      <c r="B12" s="24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4"/>
      <c r="V12" s="4"/>
      <c r="W12" s="25"/>
      <c r="X12" s="24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spans="1:41" s="3" customFormat="1" ht="14.25" x14ac:dyDescent="0.4">
      <c r="A13" s="24"/>
      <c r="B13" s="24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4"/>
      <c r="V13" s="4"/>
      <c r="W13" s="25"/>
      <c r="X13" s="24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</row>
    <row r="14" spans="1:41" s="3" customFormat="1" ht="14.25" x14ac:dyDescent="0.4">
      <c r="A14" s="24"/>
      <c r="B14" s="24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4"/>
      <c r="V14" s="4"/>
      <c r="W14" s="25"/>
      <c r="X14" s="24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</row>
    <row r="15" spans="1:41" s="3" customFormat="1" ht="14.25" x14ac:dyDescent="0.4">
      <c r="A15" s="24"/>
      <c r="B15" s="24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4"/>
      <c r="V15" s="4"/>
      <c r="W15" s="25"/>
      <c r="X15" s="24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</row>
    <row r="16" spans="1:41" s="3" customFormat="1" ht="14.25" x14ac:dyDescent="0.4">
      <c r="A16" s="24"/>
      <c r="B16" s="24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4"/>
      <c r="V16" s="4"/>
      <c r="W16" s="25"/>
      <c r="X16" s="24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</row>
    <row r="17" spans="1:41" s="3" customFormat="1" ht="14.25" x14ac:dyDescent="0.4">
      <c r="A17" s="24"/>
      <c r="B17" s="24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4"/>
      <c r="V17" s="4"/>
      <c r="W17" s="25"/>
      <c r="X17" s="24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</row>
    <row r="18" spans="1:41" s="3" customFormat="1" ht="14.25" x14ac:dyDescent="0.4">
      <c r="A18" s="24"/>
      <c r="B18" s="24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4"/>
      <c r="V18" s="4"/>
      <c r="W18" s="25"/>
      <c r="X18" s="24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</row>
    <row r="19" spans="1:41" s="3" customFormat="1" ht="14.25" x14ac:dyDescent="0.4">
      <c r="A19" s="24"/>
      <c r="B19" s="24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4"/>
      <c r="V19" s="4"/>
      <c r="W19" s="25"/>
      <c r="X19" s="24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</row>
    <row r="20" spans="1:41" s="3" customFormat="1" ht="14.25" x14ac:dyDescent="0.4">
      <c r="A20" s="24"/>
      <c r="B20" s="24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4"/>
      <c r="V20" s="4"/>
      <c r="W20" s="25"/>
      <c r="X20" s="24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</row>
    <row r="21" spans="1:41" s="3" customFormat="1" ht="14.25" x14ac:dyDescent="0.4">
      <c r="A21" s="24"/>
      <c r="B21" s="24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4"/>
      <c r="V21" s="4"/>
      <c r="W21" s="25"/>
      <c r="X21" s="24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</row>
    <row r="22" spans="1:41" s="3" customFormat="1" ht="14.25" x14ac:dyDescent="0.4">
      <c r="A22" s="24"/>
      <c r="B22" s="24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4"/>
      <c r="V22" s="4"/>
      <c r="W22" s="25"/>
      <c r="X22" s="24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</row>
    <row r="23" spans="1:41" s="3" customFormat="1" ht="14.25" x14ac:dyDescent="0.4">
      <c r="A23" s="24"/>
      <c r="B23" s="24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4"/>
      <c r="V23" s="4"/>
      <c r="W23" s="25"/>
      <c r="X23" s="24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</row>
    <row r="24" spans="1:41" s="3" customFormat="1" ht="14.25" x14ac:dyDescent="0.4">
      <c r="A24" s="24"/>
      <c r="B24" s="24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4"/>
      <c r="V24" s="4"/>
      <c r="W24" s="25"/>
      <c r="X24" s="24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</row>
    <row r="25" spans="1:41" s="3" customFormat="1" ht="14.25" x14ac:dyDescent="0.4">
      <c r="A25" s="24"/>
      <c r="B25" s="24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4"/>
      <c r="V25" s="4"/>
      <c r="W25" s="25"/>
      <c r="X25" s="24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</row>
    <row r="26" spans="1:41" s="3" customFormat="1" ht="14.25" x14ac:dyDescent="0.4">
      <c r="A26" s="24"/>
      <c r="B26" s="24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4"/>
      <c r="V26" s="4"/>
      <c r="W26" s="25"/>
      <c r="X26" s="24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</row>
    <row r="27" spans="1:41" s="3" customFormat="1" ht="14.25" x14ac:dyDescent="0.4">
      <c r="A27" s="24"/>
      <c r="B27" s="2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4"/>
      <c r="V27" s="4"/>
      <c r="W27" s="25"/>
      <c r="X27" s="24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</row>
    <row r="28" spans="1:41" s="3" customFormat="1" ht="14.25" x14ac:dyDescent="0.4">
      <c r="A28" s="24"/>
      <c r="B28" s="2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4"/>
      <c r="V28" s="4"/>
      <c r="W28" s="25"/>
      <c r="X28" s="24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</row>
  </sheetData>
  <mergeCells count="206">
    <mergeCell ref="AL2:AO4"/>
    <mergeCell ref="A3:E3"/>
    <mergeCell ref="F3:O3"/>
    <mergeCell ref="P3:AC3"/>
    <mergeCell ref="AD3:AG3"/>
    <mergeCell ref="A1:E1"/>
    <mergeCell ref="F1:O1"/>
    <mergeCell ref="P1:AC1"/>
    <mergeCell ref="AD1:AG1"/>
    <mergeCell ref="AH1:AK1"/>
    <mergeCell ref="AL1:AO1"/>
    <mergeCell ref="AH3:AK3"/>
    <mergeCell ref="A4:E4"/>
    <mergeCell ref="F4:O4"/>
    <mergeCell ref="P4:AC4"/>
    <mergeCell ref="AD4:AG4"/>
    <mergeCell ref="AH4:AK4"/>
    <mergeCell ref="A2:E2"/>
    <mergeCell ref="F2:O2"/>
    <mergeCell ref="P2:AC2"/>
    <mergeCell ref="AD2:AG2"/>
    <mergeCell ref="AH2:AK2"/>
    <mergeCell ref="Y6:AA6"/>
    <mergeCell ref="AB6:AO6"/>
    <mergeCell ref="A7:B7"/>
    <mergeCell ref="C7:G7"/>
    <mergeCell ref="H7:N7"/>
    <mergeCell ref="O7:Q7"/>
    <mergeCell ref="R7:T7"/>
    <mergeCell ref="W7:X7"/>
    <mergeCell ref="Y7:AA7"/>
    <mergeCell ref="AB7:AO7"/>
    <mergeCell ref="A6:B6"/>
    <mergeCell ref="C6:G6"/>
    <mergeCell ref="H6:N6"/>
    <mergeCell ref="O6:Q6"/>
    <mergeCell ref="R6:T6"/>
    <mergeCell ref="W6:X6"/>
    <mergeCell ref="Y8:AA8"/>
    <mergeCell ref="AB8:AO8"/>
    <mergeCell ref="A10:B10"/>
    <mergeCell ref="C10:G10"/>
    <mergeCell ref="H10:N10"/>
    <mergeCell ref="O10:Q10"/>
    <mergeCell ref="R10:T10"/>
    <mergeCell ref="W10:X10"/>
    <mergeCell ref="Y10:AA10"/>
    <mergeCell ref="AB10:AO10"/>
    <mergeCell ref="A8:B8"/>
    <mergeCell ref="C8:G8"/>
    <mergeCell ref="H8:N8"/>
    <mergeCell ref="O8:Q8"/>
    <mergeCell ref="R8:T8"/>
    <mergeCell ref="W8:X8"/>
    <mergeCell ref="A9:B9"/>
    <mergeCell ref="C9:G9"/>
    <mergeCell ref="H9:N9"/>
    <mergeCell ref="O9:Q9"/>
    <mergeCell ref="R9:T9"/>
    <mergeCell ref="W9:X9"/>
    <mergeCell ref="Y9:AA9"/>
    <mergeCell ref="AB9:AO9"/>
    <mergeCell ref="Y11:AA11"/>
    <mergeCell ref="AB11:AO11"/>
    <mergeCell ref="A12:B12"/>
    <mergeCell ref="C12:G12"/>
    <mergeCell ref="H12:N12"/>
    <mergeCell ref="O12:Q12"/>
    <mergeCell ref="R12:T12"/>
    <mergeCell ref="W12:X12"/>
    <mergeCell ref="Y12:AA12"/>
    <mergeCell ref="AB12:AO12"/>
    <mergeCell ref="A11:B11"/>
    <mergeCell ref="C11:G11"/>
    <mergeCell ref="H11:N11"/>
    <mergeCell ref="O11:Q11"/>
    <mergeCell ref="R11:T11"/>
    <mergeCell ref="W11:X11"/>
    <mergeCell ref="Y13:AA13"/>
    <mergeCell ref="AB13:AO13"/>
    <mergeCell ref="A14:B14"/>
    <mergeCell ref="C14:G14"/>
    <mergeCell ref="H14:N14"/>
    <mergeCell ref="O14:Q14"/>
    <mergeCell ref="R14:T14"/>
    <mergeCell ref="W14:X14"/>
    <mergeCell ref="Y14:AA14"/>
    <mergeCell ref="AB14:AO14"/>
    <mergeCell ref="A13:B13"/>
    <mergeCell ref="C13:G13"/>
    <mergeCell ref="H13:N13"/>
    <mergeCell ref="O13:Q13"/>
    <mergeCell ref="R13:T13"/>
    <mergeCell ref="W13:X13"/>
    <mergeCell ref="Y15:AA15"/>
    <mergeCell ref="AB15:AO15"/>
    <mergeCell ref="A16:B16"/>
    <mergeCell ref="C16:G16"/>
    <mergeCell ref="H16:N16"/>
    <mergeCell ref="O16:Q16"/>
    <mergeCell ref="R16:T16"/>
    <mergeCell ref="W16:X16"/>
    <mergeCell ref="Y16:AA16"/>
    <mergeCell ref="AB16:AO16"/>
    <mergeCell ref="A15:B15"/>
    <mergeCell ref="C15:G15"/>
    <mergeCell ref="H15:N15"/>
    <mergeCell ref="O15:Q15"/>
    <mergeCell ref="R15:T15"/>
    <mergeCell ref="W15:X15"/>
    <mergeCell ref="Y17:AA17"/>
    <mergeCell ref="AB17:AO17"/>
    <mergeCell ref="A18:B18"/>
    <mergeCell ref="C18:G18"/>
    <mergeCell ref="H18:N18"/>
    <mergeCell ref="O18:Q18"/>
    <mergeCell ref="R18:T18"/>
    <mergeCell ref="W18:X18"/>
    <mergeCell ref="Y18:AA18"/>
    <mergeCell ref="AB18:AO18"/>
    <mergeCell ref="A17:B17"/>
    <mergeCell ref="C17:G17"/>
    <mergeCell ref="H17:N17"/>
    <mergeCell ref="O17:Q17"/>
    <mergeCell ref="R17:T17"/>
    <mergeCell ref="W17:X17"/>
    <mergeCell ref="Y19:AA19"/>
    <mergeCell ref="AB19:AO19"/>
    <mergeCell ref="A20:B20"/>
    <mergeCell ref="C20:G20"/>
    <mergeCell ref="H20:N20"/>
    <mergeCell ref="O20:Q20"/>
    <mergeCell ref="R20:T20"/>
    <mergeCell ref="W20:X20"/>
    <mergeCell ref="Y20:AA20"/>
    <mergeCell ref="AB20:AO20"/>
    <mergeCell ref="A19:B19"/>
    <mergeCell ref="C19:G19"/>
    <mergeCell ref="H19:N19"/>
    <mergeCell ref="O19:Q19"/>
    <mergeCell ref="R19:T19"/>
    <mergeCell ref="W19:X19"/>
    <mergeCell ref="Y21:AA21"/>
    <mergeCell ref="AB21:AO21"/>
    <mergeCell ref="A22:B22"/>
    <mergeCell ref="C22:G22"/>
    <mergeCell ref="H22:N22"/>
    <mergeCell ref="O22:Q22"/>
    <mergeCell ref="R22:T22"/>
    <mergeCell ref="W22:X22"/>
    <mergeCell ref="Y22:AA22"/>
    <mergeCell ref="AB22:AO22"/>
    <mergeCell ref="A21:B21"/>
    <mergeCell ref="C21:G21"/>
    <mergeCell ref="H21:N21"/>
    <mergeCell ref="O21:Q21"/>
    <mergeCell ref="R21:T21"/>
    <mergeCell ref="W21:X21"/>
    <mergeCell ref="Y23:AA23"/>
    <mergeCell ref="AB23:AO23"/>
    <mergeCell ref="A24:B24"/>
    <mergeCell ref="C24:G24"/>
    <mergeCell ref="H24:N24"/>
    <mergeCell ref="O24:Q24"/>
    <mergeCell ref="R24:T24"/>
    <mergeCell ref="W24:X24"/>
    <mergeCell ref="Y24:AA24"/>
    <mergeCell ref="AB24:AO24"/>
    <mergeCell ref="A23:B23"/>
    <mergeCell ref="C23:G23"/>
    <mergeCell ref="H23:N23"/>
    <mergeCell ref="O23:Q23"/>
    <mergeCell ref="R23:T23"/>
    <mergeCell ref="W23:X23"/>
    <mergeCell ref="Y25:AA25"/>
    <mergeCell ref="AB25:AO25"/>
    <mergeCell ref="A26:B26"/>
    <mergeCell ref="C26:G26"/>
    <mergeCell ref="H26:N26"/>
    <mergeCell ref="O26:Q26"/>
    <mergeCell ref="R26:T26"/>
    <mergeCell ref="W26:X26"/>
    <mergeCell ref="Y26:AA26"/>
    <mergeCell ref="AB26:AO26"/>
    <mergeCell ref="A25:B25"/>
    <mergeCell ref="C25:G25"/>
    <mergeCell ref="H25:N25"/>
    <mergeCell ref="O25:Q25"/>
    <mergeCell ref="R25:T25"/>
    <mergeCell ref="W25:X25"/>
    <mergeCell ref="Y27:AA27"/>
    <mergeCell ref="AB27:AO27"/>
    <mergeCell ref="A28:B28"/>
    <mergeCell ref="C28:G28"/>
    <mergeCell ref="H28:N28"/>
    <mergeCell ref="O28:Q28"/>
    <mergeCell ref="R28:T28"/>
    <mergeCell ref="W28:X28"/>
    <mergeCell ref="Y28:AA28"/>
    <mergeCell ref="AB28:AO28"/>
    <mergeCell ref="A27:B27"/>
    <mergeCell ref="C27:G27"/>
    <mergeCell ref="H27:N27"/>
    <mergeCell ref="O27:Q27"/>
    <mergeCell ref="R27:T27"/>
    <mergeCell ref="W27:X27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C919D-04D1-4586-9238-1D3EA3181BD7}">
  <dimension ref="A1:AO28"/>
  <sheetViews>
    <sheetView workbookViewId="0">
      <selection activeCell="P4" sqref="P4:AC4"/>
    </sheetView>
  </sheetViews>
  <sheetFormatPr defaultColWidth="3.25" defaultRowHeight="15.75" x14ac:dyDescent="0.4"/>
  <cols>
    <col min="1" max="16384" width="3.25" style="1"/>
  </cols>
  <sheetData>
    <row r="1" spans="1:41" x14ac:dyDescent="0.4">
      <c r="A1" s="11" t="s">
        <v>0</v>
      </c>
      <c r="B1" s="12"/>
      <c r="C1" s="12"/>
      <c r="D1" s="12"/>
      <c r="E1" s="12"/>
      <c r="F1" s="12" t="s">
        <v>4</v>
      </c>
      <c r="G1" s="12"/>
      <c r="H1" s="12"/>
      <c r="I1" s="12"/>
      <c r="J1" s="12"/>
      <c r="K1" s="12"/>
      <c r="L1" s="12"/>
      <c r="M1" s="12"/>
      <c r="N1" s="12"/>
      <c r="O1" s="12"/>
      <c r="P1" s="12" t="s">
        <v>10</v>
      </c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 t="s">
        <v>5</v>
      </c>
      <c r="AE1" s="12"/>
      <c r="AF1" s="12"/>
      <c r="AG1" s="12"/>
      <c r="AH1" s="12" t="s">
        <v>7</v>
      </c>
      <c r="AI1" s="12"/>
      <c r="AJ1" s="12"/>
      <c r="AK1" s="12"/>
      <c r="AL1" s="12" t="s">
        <v>9</v>
      </c>
      <c r="AM1" s="12"/>
      <c r="AN1" s="12"/>
      <c r="AO1" s="13"/>
    </row>
    <row r="2" spans="1:41" ht="28.5" customHeight="1" x14ac:dyDescent="0.4">
      <c r="A2" s="9" t="str">
        <f>案件番号</f>
        <v>EDU001</v>
      </c>
      <c r="B2" s="10"/>
      <c r="C2" s="10"/>
      <c r="D2" s="10"/>
      <c r="E2" s="10"/>
      <c r="F2" s="10" t="str" cm="1">
        <f t="array" ref="F2">案件名</f>
        <v>AWS 2nd</v>
      </c>
      <c r="G2" s="10"/>
      <c r="H2" s="10"/>
      <c r="I2" s="10"/>
      <c r="J2" s="10"/>
      <c r="K2" s="10"/>
      <c r="L2" s="10"/>
      <c r="M2" s="10"/>
      <c r="N2" s="10"/>
      <c r="O2" s="10"/>
      <c r="P2" s="10" t="str">
        <f>ドキュメント名</f>
        <v>テーブル定義書</v>
      </c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 t="str">
        <f>作成担当者</f>
        <v>五嶋</v>
      </c>
      <c r="AE2" s="10"/>
      <c r="AF2" s="10"/>
      <c r="AG2" s="10"/>
      <c r="AH2" s="16" t="str">
        <f>作成年月日</f>
        <v>2024/05/07</v>
      </c>
      <c r="AI2" s="16"/>
      <c r="AJ2" s="16"/>
      <c r="AK2" s="16"/>
      <c r="AL2" s="5"/>
      <c r="AM2" s="5"/>
      <c r="AN2" s="5"/>
      <c r="AO2" s="6"/>
    </row>
    <row r="3" spans="1:41" x14ac:dyDescent="0.4">
      <c r="A3" s="9" t="s">
        <v>2</v>
      </c>
      <c r="B3" s="10"/>
      <c r="C3" s="10"/>
      <c r="D3" s="10"/>
      <c r="E3" s="10"/>
      <c r="F3" s="10" t="s">
        <v>1</v>
      </c>
      <c r="G3" s="10"/>
      <c r="H3" s="10"/>
      <c r="I3" s="10"/>
      <c r="J3" s="10"/>
      <c r="K3" s="10"/>
      <c r="L3" s="10"/>
      <c r="M3" s="10"/>
      <c r="N3" s="10"/>
      <c r="O3" s="10"/>
      <c r="P3" s="10" t="s">
        <v>3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 t="s">
        <v>6</v>
      </c>
      <c r="AE3" s="10"/>
      <c r="AF3" s="10"/>
      <c r="AG3" s="10"/>
      <c r="AH3" s="10" t="s">
        <v>8</v>
      </c>
      <c r="AI3" s="10"/>
      <c r="AJ3" s="10"/>
      <c r="AK3" s="10"/>
      <c r="AL3" s="5"/>
      <c r="AM3" s="5"/>
      <c r="AN3" s="5"/>
      <c r="AO3" s="6"/>
    </row>
    <row r="4" spans="1:41" ht="28.5" customHeight="1" thickBot="1" x14ac:dyDescent="0.45">
      <c r="A4" s="14" t="s">
        <v>31</v>
      </c>
      <c r="B4" s="15"/>
      <c r="C4" s="15"/>
      <c r="D4" s="15"/>
      <c r="E4" s="15"/>
      <c r="F4" s="15" t="str">
        <f>プロジェクト名</f>
        <v>在庫・売上管理システム</v>
      </c>
      <c r="G4" s="15"/>
      <c r="H4" s="15"/>
      <c r="I4" s="15"/>
      <c r="J4" s="15"/>
      <c r="K4" s="15"/>
      <c r="L4" s="15"/>
      <c r="M4" s="15"/>
      <c r="N4" s="15"/>
      <c r="O4" s="15"/>
      <c r="P4" s="15" t="s">
        <v>46</v>
      </c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7"/>
      <c r="AM4" s="7"/>
      <c r="AN4" s="7"/>
      <c r="AO4" s="8"/>
    </row>
    <row r="6" spans="1:41" s="3" customFormat="1" ht="27" customHeight="1" x14ac:dyDescent="0.4">
      <c r="A6" s="27" t="s">
        <v>14</v>
      </c>
      <c r="B6" s="27"/>
      <c r="C6" s="26" t="s">
        <v>65</v>
      </c>
      <c r="D6" s="26"/>
      <c r="E6" s="26"/>
      <c r="F6" s="26"/>
      <c r="G6" s="26"/>
      <c r="H6" s="26" t="s">
        <v>67</v>
      </c>
      <c r="I6" s="26"/>
      <c r="J6" s="26"/>
      <c r="K6" s="26"/>
      <c r="L6" s="26"/>
      <c r="M6" s="26"/>
      <c r="N6" s="26"/>
      <c r="O6" s="26" t="s">
        <v>22</v>
      </c>
      <c r="P6" s="26"/>
      <c r="Q6" s="26"/>
      <c r="R6" s="26" t="s">
        <v>23</v>
      </c>
      <c r="S6" s="26"/>
      <c r="T6" s="26"/>
      <c r="U6" s="2" t="s">
        <v>24</v>
      </c>
      <c r="V6" s="2" t="s">
        <v>25</v>
      </c>
      <c r="W6" s="28" t="s">
        <v>26</v>
      </c>
      <c r="X6" s="27"/>
      <c r="Y6" s="26" t="s">
        <v>27</v>
      </c>
      <c r="Z6" s="26"/>
      <c r="AA6" s="26"/>
      <c r="AB6" s="26" t="s">
        <v>28</v>
      </c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</row>
    <row r="7" spans="1:41" s="3" customFormat="1" ht="14.25" x14ac:dyDescent="0.4">
      <c r="A7" s="24"/>
      <c r="B7" s="24"/>
      <c r="C7" s="23" t="s">
        <v>37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 t="s">
        <v>38</v>
      </c>
      <c r="P7" s="23"/>
      <c r="Q7" s="23"/>
      <c r="R7" s="23"/>
      <c r="S7" s="23"/>
      <c r="T7" s="23"/>
      <c r="U7" s="4" t="s">
        <v>39</v>
      </c>
      <c r="V7" s="4"/>
      <c r="W7" s="25"/>
      <c r="X7" s="24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s="3" customFormat="1" ht="14.25" x14ac:dyDescent="0.4">
      <c r="A8" s="24"/>
      <c r="B8" s="24"/>
      <c r="C8" s="23" t="s">
        <v>40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 t="s">
        <v>45</v>
      </c>
      <c r="P8" s="23"/>
      <c r="Q8" s="23"/>
      <c r="R8" s="23"/>
      <c r="S8" s="23"/>
      <c r="T8" s="23"/>
      <c r="U8" s="4"/>
      <c r="V8" s="4"/>
      <c r="W8" s="25"/>
      <c r="X8" s="24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</row>
    <row r="9" spans="1:41" s="3" customFormat="1" ht="14.25" x14ac:dyDescent="0.4">
      <c r="A9" s="24"/>
      <c r="B9" s="24"/>
      <c r="C9" s="23" t="s">
        <v>47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 t="s">
        <v>54</v>
      </c>
      <c r="P9" s="23"/>
      <c r="Q9" s="23"/>
      <c r="R9" s="23"/>
      <c r="S9" s="23"/>
      <c r="T9" s="23"/>
      <c r="U9" s="4"/>
      <c r="V9" s="4"/>
      <c r="W9" s="25"/>
      <c r="X9" s="24"/>
      <c r="Y9" s="23"/>
      <c r="Z9" s="23"/>
      <c r="AA9" s="23"/>
      <c r="AB9" s="23" t="s">
        <v>53</v>
      </c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</row>
    <row r="10" spans="1:41" s="3" customFormat="1" ht="14.25" x14ac:dyDescent="0.4">
      <c r="A10" s="24"/>
      <c r="B10" s="24"/>
      <c r="C10" s="23" t="s">
        <v>68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 t="s">
        <v>54</v>
      </c>
      <c r="P10" s="23"/>
      <c r="Q10" s="23"/>
      <c r="R10" s="23"/>
      <c r="S10" s="23"/>
      <c r="T10" s="23"/>
      <c r="U10" s="4"/>
      <c r="V10" s="4"/>
      <c r="W10" s="25"/>
      <c r="X10" s="24"/>
      <c r="Y10" s="23"/>
      <c r="Z10" s="23"/>
      <c r="AA10" s="23"/>
      <c r="AB10" s="23" t="s">
        <v>63</v>
      </c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</row>
    <row r="11" spans="1:41" s="3" customFormat="1" ht="14.25" x14ac:dyDescent="0.4">
      <c r="A11" s="24"/>
      <c r="B11" s="24"/>
      <c r="C11" s="23" t="s">
        <v>62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 t="s">
        <v>54</v>
      </c>
      <c r="P11" s="23"/>
      <c r="Q11" s="23"/>
      <c r="R11" s="23"/>
      <c r="S11" s="23"/>
      <c r="T11" s="23"/>
      <c r="U11" s="4"/>
      <c r="V11" s="4"/>
      <c r="W11" s="25"/>
      <c r="X11" s="24"/>
      <c r="Y11" s="23"/>
      <c r="Z11" s="23"/>
      <c r="AA11" s="23"/>
      <c r="AB11" s="23" t="s">
        <v>64</v>
      </c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s="3" customFormat="1" ht="14.25" x14ac:dyDescent="0.4">
      <c r="A12" s="24"/>
      <c r="B12" s="24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4"/>
      <c r="V12" s="4"/>
      <c r="W12" s="25"/>
      <c r="X12" s="24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spans="1:41" s="3" customFormat="1" ht="14.25" x14ac:dyDescent="0.4">
      <c r="A13" s="24"/>
      <c r="B13" s="24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4"/>
      <c r="V13" s="4"/>
      <c r="W13" s="25"/>
      <c r="X13" s="24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</row>
    <row r="14" spans="1:41" s="3" customFormat="1" ht="14.25" x14ac:dyDescent="0.4">
      <c r="A14" s="24"/>
      <c r="B14" s="24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4"/>
      <c r="V14" s="4"/>
      <c r="W14" s="25"/>
      <c r="X14" s="24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</row>
    <row r="15" spans="1:41" s="3" customFormat="1" ht="14.25" x14ac:dyDescent="0.4">
      <c r="A15" s="24"/>
      <c r="B15" s="24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4"/>
      <c r="V15" s="4"/>
      <c r="W15" s="25"/>
      <c r="X15" s="24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</row>
    <row r="16" spans="1:41" s="3" customFormat="1" ht="14.25" x14ac:dyDescent="0.4">
      <c r="A16" s="24"/>
      <c r="B16" s="24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4"/>
      <c r="V16" s="4"/>
      <c r="W16" s="25"/>
      <c r="X16" s="24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</row>
    <row r="17" spans="1:41" s="3" customFormat="1" ht="14.25" x14ac:dyDescent="0.4">
      <c r="A17" s="24"/>
      <c r="B17" s="24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4"/>
      <c r="V17" s="4"/>
      <c r="W17" s="25"/>
      <c r="X17" s="24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</row>
    <row r="18" spans="1:41" s="3" customFormat="1" ht="14.25" x14ac:dyDescent="0.4">
      <c r="A18" s="24"/>
      <c r="B18" s="24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4"/>
      <c r="V18" s="4"/>
      <c r="W18" s="25"/>
      <c r="X18" s="24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</row>
    <row r="19" spans="1:41" s="3" customFormat="1" ht="14.25" x14ac:dyDescent="0.4">
      <c r="A19" s="24"/>
      <c r="B19" s="24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4"/>
      <c r="V19" s="4"/>
      <c r="W19" s="25"/>
      <c r="X19" s="24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</row>
    <row r="20" spans="1:41" s="3" customFormat="1" ht="14.25" x14ac:dyDescent="0.4">
      <c r="A20" s="24"/>
      <c r="B20" s="24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4"/>
      <c r="V20" s="4"/>
      <c r="W20" s="25"/>
      <c r="X20" s="24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</row>
    <row r="21" spans="1:41" s="3" customFormat="1" ht="14.25" x14ac:dyDescent="0.4">
      <c r="A21" s="24"/>
      <c r="B21" s="24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4"/>
      <c r="V21" s="4"/>
      <c r="W21" s="25"/>
      <c r="X21" s="24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</row>
    <row r="22" spans="1:41" s="3" customFormat="1" ht="14.25" x14ac:dyDescent="0.4">
      <c r="A22" s="24"/>
      <c r="B22" s="24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4"/>
      <c r="V22" s="4"/>
      <c r="W22" s="25"/>
      <c r="X22" s="24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</row>
    <row r="23" spans="1:41" s="3" customFormat="1" ht="14.25" x14ac:dyDescent="0.4">
      <c r="A23" s="24"/>
      <c r="B23" s="24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4"/>
      <c r="V23" s="4"/>
      <c r="W23" s="25"/>
      <c r="X23" s="24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</row>
    <row r="24" spans="1:41" s="3" customFormat="1" ht="14.25" x14ac:dyDescent="0.4">
      <c r="A24" s="24"/>
      <c r="B24" s="24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4"/>
      <c r="V24" s="4"/>
      <c r="W24" s="25"/>
      <c r="X24" s="24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</row>
    <row r="25" spans="1:41" s="3" customFormat="1" ht="14.25" x14ac:dyDescent="0.4">
      <c r="A25" s="24"/>
      <c r="B25" s="24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4"/>
      <c r="V25" s="4"/>
      <c r="W25" s="25"/>
      <c r="X25" s="24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</row>
    <row r="26" spans="1:41" s="3" customFormat="1" ht="14.25" x14ac:dyDescent="0.4">
      <c r="A26" s="24"/>
      <c r="B26" s="24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4"/>
      <c r="V26" s="4"/>
      <c r="W26" s="25"/>
      <c r="X26" s="24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</row>
    <row r="27" spans="1:41" s="3" customFormat="1" ht="14.25" x14ac:dyDescent="0.4">
      <c r="A27" s="24"/>
      <c r="B27" s="2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4"/>
      <c r="V27" s="4"/>
      <c r="W27" s="25"/>
      <c r="X27" s="24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</row>
    <row r="28" spans="1:41" s="3" customFormat="1" ht="14.25" x14ac:dyDescent="0.4">
      <c r="A28" s="24"/>
      <c r="B28" s="2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4"/>
      <c r="V28" s="4"/>
      <c r="W28" s="25"/>
      <c r="X28" s="24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</row>
  </sheetData>
  <mergeCells count="206">
    <mergeCell ref="Y28:AA28"/>
    <mergeCell ref="AB28:AO28"/>
    <mergeCell ref="A28:B28"/>
    <mergeCell ref="C28:G28"/>
    <mergeCell ref="H28:N28"/>
    <mergeCell ref="O28:Q28"/>
    <mergeCell ref="R28:T28"/>
    <mergeCell ref="W28:X28"/>
    <mergeCell ref="Y26:AA26"/>
    <mergeCell ref="AB26:AO26"/>
    <mergeCell ref="A27:B27"/>
    <mergeCell ref="C27:G27"/>
    <mergeCell ref="H27:N27"/>
    <mergeCell ref="O27:Q27"/>
    <mergeCell ref="R27:T27"/>
    <mergeCell ref="W27:X27"/>
    <mergeCell ref="Y27:AA27"/>
    <mergeCell ref="AB27:AO27"/>
    <mergeCell ref="A26:B26"/>
    <mergeCell ref="C26:G26"/>
    <mergeCell ref="H26:N26"/>
    <mergeCell ref="O26:Q26"/>
    <mergeCell ref="R26:T26"/>
    <mergeCell ref="W26:X26"/>
    <mergeCell ref="Y24:AA24"/>
    <mergeCell ref="AB24:AO24"/>
    <mergeCell ref="A25:B25"/>
    <mergeCell ref="C25:G25"/>
    <mergeCell ref="H25:N25"/>
    <mergeCell ref="O25:Q25"/>
    <mergeCell ref="R25:T25"/>
    <mergeCell ref="W25:X25"/>
    <mergeCell ref="Y25:AA25"/>
    <mergeCell ref="AB25:AO25"/>
    <mergeCell ref="A24:B24"/>
    <mergeCell ref="C24:G24"/>
    <mergeCell ref="H24:N24"/>
    <mergeCell ref="O24:Q24"/>
    <mergeCell ref="R24:T24"/>
    <mergeCell ref="W24:X24"/>
    <mergeCell ref="Y22:AA22"/>
    <mergeCell ref="AB22:AO22"/>
    <mergeCell ref="A23:B23"/>
    <mergeCell ref="C23:G23"/>
    <mergeCell ref="H23:N23"/>
    <mergeCell ref="O23:Q23"/>
    <mergeCell ref="R23:T23"/>
    <mergeCell ref="W23:X23"/>
    <mergeCell ref="Y23:AA23"/>
    <mergeCell ref="AB23:AO23"/>
    <mergeCell ref="A22:B22"/>
    <mergeCell ref="C22:G22"/>
    <mergeCell ref="H22:N22"/>
    <mergeCell ref="O22:Q22"/>
    <mergeCell ref="R22:T22"/>
    <mergeCell ref="W22:X22"/>
    <mergeCell ref="Y20:AA20"/>
    <mergeCell ref="AB20:AO20"/>
    <mergeCell ref="A21:B21"/>
    <mergeCell ref="C21:G21"/>
    <mergeCell ref="H21:N21"/>
    <mergeCell ref="O21:Q21"/>
    <mergeCell ref="R21:T21"/>
    <mergeCell ref="W21:X21"/>
    <mergeCell ref="Y21:AA21"/>
    <mergeCell ref="AB21:AO21"/>
    <mergeCell ref="A20:B20"/>
    <mergeCell ref="C20:G20"/>
    <mergeCell ref="H20:N20"/>
    <mergeCell ref="O20:Q20"/>
    <mergeCell ref="R20:T20"/>
    <mergeCell ref="W20:X20"/>
    <mergeCell ref="Y18:AA18"/>
    <mergeCell ref="AB18:AO18"/>
    <mergeCell ref="A19:B19"/>
    <mergeCell ref="C19:G19"/>
    <mergeCell ref="H19:N19"/>
    <mergeCell ref="O19:Q19"/>
    <mergeCell ref="R19:T19"/>
    <mergeCell ref="W19:X19"/>
    <mergeCell ref="Y19:AA19"/>
    <mergeCell ref="AB19:AO19"/>
    <mergeCell ref="A18:B18"/>
    <mergeCell ref="C18:G18"/>
    <mergeCell ref="H18:N18"/>
    <mergeCell ref="O18:Q18"/>
    <mergeCell ref="R18:T18"/>
    <mergeCell ref="W18:X18"/>
    <mergeCell ref="Y16:AA16"/>
    <mergeCell ref="AB16:AO16"/>
    <mergeCell ref="A17:B17"/>
    <mergeCell ref="C17:G17"/>
    <mergeCell ref="H17:N17"/>
    <mergeCell ref="O17:Q17"/>
    <mergeCell ref="R17:T17"/>
    <mergeCell ref="W17:X17"/>
    <mergeCell ref="Y17:AA17"/>
    <mergeCell ref="AB17:AO17"/>
    <mergeCell ref="A16:B16"/>
    <mergeCell ref="C16:G16"/>
    <mergeCell ref="H16:N16"/>
    <mergeCell ref="O16:Q16"/>
    <mergeCell ref="R16:T16"/>
    <mergeCell ref="W16:X16"/>
    <mergeCell ref="Y14:AA14"/>
    <mergeCell ref="AB14:AO14"/>
    <mergeCell ref="A15:B15"/>
    <mergeCell ref="C15:G15"/>
    <mergeCell ref="H15:N15"/>
    <mergeCell ref="O15:Q15"/>
    <mergeCell ref="R15:T15"/>
    <mergeCell ref="W15:X15"/>
    <mergeCell ref="Y15:AA15"/>
    <mergeCell ref="AB15:AO15"/>
    <mergeCell ref="A14:B14"/>
    <mergeCell ref="C14:G14"/>
    <mergeCell ref="H14:N14"/>
    <mergeCell ref="O14:Q14"/>
    <mergeCell ref="R14:T14"/>
    <mergeCell ref="W14:X14"/>
    <mergeCell ref="Y12:AA12"/>
    <mergeCell ref="AB12:AO12"/>
    <mergeCell ref="A13:B13"/>
    <mergeCell ref="C13:G13"/>
    <mergeCell ref="H13:N13"/>
    <mergeCell ref="O13:Q13"/>
    <mergeCell ref="R13:T13"/>
    <mergeCell ref="W13:X13"/>
    <mergeCell ref="Y13:AA13"/>
    <mergeCell ref="AB13:AO13"/>
    <mergeCell ref="A12:B12"/>
    <mergeCell ref="C12:G12"/>
    <mergeCell ref="H12:N12"/>
    <mergeCell ref="O12:Q12"/>
    <mergeCell ref="R12:T12"/>
    <mergeCell ref="W12:X12"/>
    <mergeCell ref="Y10:AA10"/>
    <mergeCell ref="AB10:AO10"/>
    <mergeCell ref="A11:B11"/>
    <mergeCell ref="C11:G11"/>
    <mergeCell ref="H11:N11"/>
    <mergeCell ref="O11:Q11"/>
    <mergeCell ref="R11:T11"/>
    <mergeCell ref="W11:X11"/>
    <mergeCell ref="Y11:AA11"/>
    <mergeCell ref="AB11:AO11"/>
    <mergeCell ref="A10:B10"/>
    <mergeCell ref="C10:G10"/>
    <mergeCell ref="H10:N10"/>
    <mergeCell ref="O10:Q10"/>
    <mergeCell ref="R10:T10"/>
    <mergeCell ref="W10:X10"/>
    <mergeCell ref="Y8:AA8"/>
    <mergeCell ref="AB8:AO8"/>
    <mergeCell ref="A9:B9"/>
    <mergeCell ref="C9:G9"/>
    <mergeCell ref="H9:N9"/>
    <mergeCell ref="O9:Q9"/>
    <mergeCell ref="R9:T9"/>
    <mergeCell ref="W9:X9"/>
    <mergeCell ref="Y9:AA9"/>
    <mergeCell ref="AB9:AO9"/>
    <mergeCell ref="A8:B8"/>
    <mergeCell ref="C8:G8"/>
    <mergeCell ref="H8:N8"/>
    <mergeCell ref="O8:Q8"/>
    <mergeCell ref="R8:T8"/>
    <mergeCell ref="W8:X8"/>
    <mergeCell ref="Y6:AA6"/>
    <mergeCell ref="AB6:AO6"/>
    <mergeCell ref="A7:B7"/>
    <mergeCell ref="C7:G7"/>
    <mergeCell ref="H7:N7"/>
    <mergeCell ref="O7:Q7"/>
    <mergeCell ref="R7:T7"/>
    <mergeCell ref="W7:X7"/>
    <mergeCell ref="Y7:AA7"/>
    <mergeCell ref="AB7:AO7"/>
    <mergeCell ref="A6:B6"/>
    <mergeCell ref="C6:G6"/>
    <mergeCell ref="H6:N6"/>
    <mergeCell ref="O6:Q6"/>
    <mergeCell ref="R6:T6"/>
    <mergeCell ref="W6:X6"/>
    <mergeCell ref="AL2:AO4"/>
    <mergeCell ref="A3:E3"/>
    <mergeCell ref="F3:O3"/>
    <mergeCell ref="P3:AC3"/>
    <mergeCell ref="AD3:AG3"/>
    <mergeCell ref="A1:E1"/>
    <mergeCell ref="F1:O1"/>
    <mergeCell ref="P1:AC1"/>
    <mergeCell ref="AD1:AG1"/>
    <mergeCell ref="AH1:AK1"/>
    <mergeCell ref="AL1:AO1"/>
    <mergeCell ref="AH3:AK3"/>
    <mergeCell ref="A4:E4"/>
    <mergeCell ref="F4:O4"/>
    <mergeCell ref="P4:AC4"/>
    <mergeCell ref="AD4:AG4"/>
    <mergeCell ref="AH4:AK4"/>
    <mergeCell ref="A2:E2"/>
    <mergeCell ref="F2:O2"/>
    <mergeCell ref="P2:AC2"/>
    <mergeCell ref="AD2:AG2"/>
    <mergeCell ref="AH2:AK2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C3081-034C-48EE-924D-0E37A7CA67E5}">
  <dimension ref="A1:AO27"/>
  <sheetViews>
    <sheetView tabSelected="1" topLeftCell="A4" workbookViewId="0">
      <selection activeCell="AB10" sqref="AB10:AO10"/>
    </sheetView>
  </sheetViews>
  <sheetFormatPr defaultColWidth="3.25" defaultRowHeight="15.75" x14ac:dyDescent="0.4"/>
  <cols>
    <col min="1" max="16384" width="3.25" style="1"/>
  </cols>
  <sheetData>
    <row r="1" spans="1:41" x14ac:dyDescent="0.4">
      <c r="A1" s="11" t="s">
        <v>0</v>
      </c>
      <c r="B1" s="12"/>
      <c r="C1" s="12"/>
      <c r="D1" s="12"/>
      <c r="E1" s="12"/>
      <c r="F1" s="12" t="s">
        <v>4</v>
      </c>
      <c r="G1" s="12"/>
      <c r="H1" s="12"/>
      <c r="I1" s="12"/>
      <c r="J1" s="12"/>
      <c r="K1" s="12"/>
      <c r="L1" s="12"/>
      <c r="M1" s="12"/>
      <c r="N1" s="12"/>
      <c r="O1" s="12"/>
      <c r="P1" s="12" t="s">
        <v>10</v>
      </c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 t="s">
        <v>5</v>
      </c>
      <c r="AE1" s="12"/>
      <c r="AF1" s="12"/>
      <c r="AG1" s="12"/>
      <c r="AH1" s="12" t="s">
        <v>7</v>
      </c>
      <c r="AI1" s="12"/>
      <c r="AJ1" s="12"/>
      <c r="AK1" s="12"/>
      <c r="AL1" s="12" t="s">
        <v>9</v>
      </c>
      <c r="AM1" s="12"/>
      <c r="AN1" s="12"/>
      <c r="AO1" s="13"/>
    </row>
    <row r="2" spans="1:41" ht="28.5" customHeight="1" x14ac:dyDescent="0.4">
      <c r="A2" s="9" t="str">
        <f>案件番号</f>
        <v>EDU001</v>
      </c>
      <c r="B2" s="10"/>
      <c r="C2" s="10"/>
      <c r="D2" s="10"/>
      <c r="E2" s="10"/>
      <c r="F2" s="10" t="str" cm="1">
        <f t="array" ref="F2">案件名</f>
        <v>AWS 2nd</v>
      </c>
      <c r="G2" s="10"/>
      <c r="H2" s="10"/>
      <c r="I2" s="10"/>
      <c r="J2" s="10"/>
      <c r="K2" s="10"/>
      <c r="L2" s="10"/>
      <c r="M2" s="10"/>
      <c r="N2" s="10"/>
      <c r="O2" s="10"/>
      <c r="P2" s="10" t="str">
        <f>ドキュメント名</f>
        <v>テーブル定義書</v>
      </c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 t="str">
        <f>作成担当者</f>
        <v>五嶋</v>
      </c>
      <c r="AE2" s="10"/>
      <c r="AF2" s="10"/>
      <c r="AG2" s="10"/>
      <c r="AH2" s="16" t="str">
        <f>作成年月日</f>
        <v>2024/05/07</v>
      </c>
      <c r="AI2" s="16"/>
      <c r="AJ2" s="16"/>
      <c r="AK2" s="16"/>
      <c r="AL2" s="5"/>
      <c r="AM2" s="5"/>
      <c r="AN2" s="5"/>
      <c r="AO2" s="6"/>
    </row>
    <row r="3" spans="1:41" x14ac:dyDescent="0.4">
      <c r="A3" s="9" t="s">
        <v>2</v>
      </c>
      <c r="B3" s="10"/>
      <c r="C3" s="10"/>
      <c r="D3" s="10"/>
      <c r="E3" s="10"/>
      <c r="F3" s="10" t="s">
        <v>1</v>
      </c>
      <c r="G3" s="10"/>
      <c r="H3" s="10"/>
      <c r="I3" s="10"/>
      <c r="J3" s="10"/>
      <c r="K3" s="10"/>
      <c r="L3" s="10"/>
      <c r="M3" s="10"/>
      <c r="N3" s="10"/>
      <c r="O3" s="10"/>
      <c r="P3" s="10" t="s">
        <v>3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 t="s">
        <v>6</v>
      </c>
      <c r="AE3" s="10"/>
      <c r="AF3" s="10"/>
      <c r="AG3" s="10"/>
      <c r="AH3" s="10" t="s">
        <v>8</v>
      </c>
      <c r="AI3" s="10"/>
      <c r="AJ3" s="10"/>
      <c r="AK3" s="10"/>
      <c r="AL3" s="5"/>
      <c r="AM3" s="5"/>
      <c r="AN3" s="5"/>
      <c r="AO3" s="6"/>
    </row>
    <row r="4" spans="1:41" ht="28.5" customHeight="1" thickBot="1" x14ac:dyDescent="0.45">
      <c r="A4" s="14" t="s">
        <v>32</v>
      </c>
      <c r="B4" s="15"/>
      <c r="C4" s="15"/>
      <c r="D4" s="15"/>
      <c r="E4" s="15"/>
      <c r="F4" s="15" t="str">
        <f>プロジェクト名</f>
        <v>在庫・売上管理システム</v>
      </c>
      <c r="G4" s="15"/>
      <c r="H4" s="15"/>
      <c r="I4" s="15"/>
      <c r="J4" s="15"/>
      <c r="K4" s="15"/>
      <c r="L4" s="15"/>
      <c r="M4" s="15"/>
      <c r="N4" s="15"/>
      <c r="O4" s="15"/>
      <c r="P4" s="15" t="s">
        <v>69</v>
      </c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7"/>
      <c r="AM4" s="7"/>
      <c r="AN4" s="7"/>
      <c r="AO4" s="8"/>
    </row>
    <row r="6" spans="1:41" s="3" customFormat="1" ht="27" customHeight="1" x14ac:dyDescent="0.4">
      <c r="A6" s="27" t="s">
        <v>14</v>
      </c>
      <c r="B6" s="27"/>
      <c r="C6" s="26" t="s">
        <v>65</v>
      </c>
      <c r="D6" s="26"/>
      <c r="E6" s="26"/>
      <c r="F6" s="26"/>
      <c r="G6" s="26"/>
      <c r="H6" s="26" t="s">
        <v>66</v>
      </c>
      <c r="I6" s="26"/>
      <c r="J6" s="26"/>
      <c r="K6" s="26"/>
      <c r="L6" s="26"/>
      <c r="M6" s="26"/>
      <c r="N6" s="26"/>
      <c r="O6" s="26" t="s">
        <v>22</v>
      </c>
      <c r="P6" s="26"/>
      <c r="Q6" s="26"/>
      <c r="R6" s="26" t="s">
        <v>23</v>
      </c>
      <c r="S6" s="26"/>
      <c r="T6" s="26"/>
      <c r="U6" s="2" t="s">
        <v>24</v>
      </c>
      <c r="V6" s="2" t="s">
        <v>25</v>
      </c>
      <c r="W6" s="28" t="s">
        <v>26</v>
      </c>
      <c r="X6" s="27"/>
      <c r="Y6" s="26" t="s">
        <v>27</v>
      </c>
      <c r="Z6" s="26"/>
      <c r="AA6" s="26"/>
      <c r="AB6" s="26" t="s">
        <v>28</v>
      </c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</row>
    <row r="7" spans="1:41" s="3" customFormat="1" ht="14.25" x14ac:dyDescent="0.4">
      <c r="A7" s="24"/>
      <c r="B7" s="24"/>
      <c r="C7" s="23" t="s">
        <v>37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 t="s">
        <v>38</v>
      </c>
      <c r="P7" s="23"/>
      <c r="Q7" s="23"/>
      <c r="R7" s="23"/>
      <c r="S7" s="23"/>
      <c r="T7" s="23"/>
      <c r="U7" s="4" t="s">
        <v>39</v>
      </c>
      <c r="V7" s="4"/>
      <c r="W7" s="25"/>
      <c r="X7" s="24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s="3" customFormat="1" ht="14.25" x14ac:dyDescent="0.4">
      <c r="A8" s="24"/>
      <c r="B8" s="24"/>
      <c r="C8" s="23" t="s">
        <v>58</v>
      </c>
      <c r="D8" s="23"/>
      <c r="E8" s="23"/>
      <c r="F8" s="23"/>
      <c r="G8" s="23"/>
      <c r="H8" s="23" t="s">
        <v>59</v>
      </c>
      <c r="I8" s="23"/>
      <c r="J8" s="23"/>
      <c r="K8" s="23"/>
      <c r="L8" s="23"/>
      <c r="M8" s="23"/>
      <c r="N8" s="23"/>
      <c r="O8" s="23" t="s">
        <v>51</v>
      </c>
      <c r="P8" s="23"/>
      <c r="Q8" s="23"/>
      <c r="R8" s="23">
        <v>1</v>
      </c>
      <c r="S8" s="23"/>
      <c r="T8" s="23"/>
      <c r="U8" s="4"/>
      <c r="V8" s="4"/>
      <c r="W8" s="25"/>
      <c r="X8" s="24"/>
      <c r="Y8" s="23"/>
      <c r="Z8" s="23"/>
      <c r="AA8" s="23"/>
      <c r="AB8" s="23" t="s">
        <v>60</v>
      </c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</row>
    <row r="9" spans="1:41" s="3" customFormat="1" ht="14.25" x14ac:dyDescent="0.4">
      <c r="A9" s="24"/>
      <c r="B9" s="24"/>
      <c r="C9" s="23" t="s">
        <v>40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 t="s">
        <v>45</v>
      </c>
      <c r="P9" s="23"/>
      <c r="Q9" s="23"/>
      <c r="R9" s="23"/>
      <c r="S9" s="23"/>
      <c r="T9" s="23"/>
      <c r="U9" s="4"/>
      <c r="V9" s="4"/>
      <c r="W9" s="25"/>
      <c r="X9" s="24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</row>
    <row r="10" spans="1:41" s="3" customFormat="1" ht="14.25" x14ac:dyDescent="0.4">
      <c r="A10" s="24"/>
      <c r="B10" s="24"/>
      <c r="C10" s="23" t="s">
        <v>50</v>
      </c>
      <c r="D10" s="23"/>
      <c r="E10" s="23"/>
      <c r="F10" s="23"/>
      <c r="G10" s="23"/>
      <c r="H10" s="23" t="s">
        <v>57</v>
      </c>
      <c r="I10" s="23"/>
      <c r="J10" s="23"/>
      <c r="K10" s="23"/>
      <c r="L10" s="23"/>
      <c r="M10" s="23"/>
      <c r="N10" s="23"/>
      <c r="O10" s="23" t="s">
        <v>51</v>
      </c>
      <c r="P10" s="23"/>
      <c r="Q10" s="23"/>
      <c r="R10" s="23">
        <v>8</v>
      </c>
      <c r="S10" s="23"/>
      <c r="T10" s="23"/>
      <c r="U10" s="4"/>
      <c r="V10" s="4"/>
      <c r="W10" s="25"/>
      <c r="X10" s="24"/>
      <c r="Y10" s="23"/>
      <c r="Z10" s="23"/>
      <c r="AA10" s="23"/>
      <c r="AB10" s="23" t="s">
        <v>52</v>
      </c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</row>
    <row r="11" spans="1:41" s="3" customFormat="1" ht="14.25" x14ac:dyDescent="0.4">
      <c r="A11" s="24"/>
      <c r="B11" s="24"/>
      <c r="C11" s="29" t="s">
        <v>48</v>
      </c>
      <c r="D11" s="30"/>
      <c r="E11" s="30"/>
      <c r="F11" s="30"/>
      <c r="G11" s="31"/>
      <c r="H11" s="29" t="s">
        <v>49</v>
      </c>
      <c r="I11" s="30"/>
      <c r="J11" s="30"/>
      <c r="K11" s="30"/>
      <c r="L11" s="30"/>
      <c r="M11" s="30"/>
      <c r="N11" s="31"/>
      <c r="O11" s="29" t="s">
        <v>54</v>
      </c>
      <c r="P11" s="30"/>
      <c r="Q11" s="31"/>
      <c r="R11" s="29"/>
      <c r="S11" s="30"/>
      <c r="T11" s="31"/>
      <c r="U11" s="4"/>
      <c r="V11" s="4"/>
      <c r="W11" s="32"/>
      <c r="X11" s="33"/>
      <c r="Y11" s="29"/>
      <c r="Z11" s="30"/>
      <c r="AA11" s="31"/>
      <c r="AB11" s="29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1"/>
    </row>
    <row r="12" spans="1:41" s="3" customFormat="1" ht="14.25" x14ac:dyDescent="0.4">
      <c r="A12" s="24"/>
      <c r="B12" s="24"/>
      <c r="C12" s="23" t="s">
        <v>47</v>
      </c>
      <c r="D12" s="23"/>
      <c r="E12" s="23"/>
      <c r="F12" s="23"/>
      <c r="G12" s="23"/>
      <c r="H12" s="23" t="s">
        <v>55</v>
      </c>
      <c r="I12" s="23"/>
      <c r="J12" s="23"/>
      <c r="K12" s="23"/>
      <c r="L12" s="23"/>
      <c r="M12" s="23"/>
      <c r="N12" s="23"/>
      <c r="O12" s="23" t="s">
        <v>54</v>
      </c>
      <c r="P12" s="23"/>
      <c r="Q12" s="23"/>
      <c r="R12" s="23"/>
      <c r="S12" s="23"/>
      <c r="T12" s="23"/>
      <c r="U12" s="4"/>
      <c r="V12" s="4"/>
      <c r="W12" s="25"/>
      <c r="X12" s="24"/>
      <c r="Y12" s="23"/>
      <c r="Z12" s="23"/>
      <c r="AA12" s="23"/>
      <c r="AB12" s="23" t="s">
        <v>61</v>
      </c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spans="1:41" s="3" customFormat="1" ht="14.25" x14ac:dyDescent="0.4">
      <c r="A13" s="24"/>
      <c r="B13" s="24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4"/>
      <c r="V13" s="4"/>
      <c r="W13" s="25"/>
      <c r="X13" s="24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</row>
    <row r="14" spans="1:41" s="3" customFormat="1" ht="14.25" x14ac:dyDescent="0.4">
      <c r="A14" s="24"/>
      <c r="B14" s="24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4"/>
      <c r="V14" s="4"/>
      <c r="W14" s="25"/>
      <c r="X14" s="24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</row>
    <row r="15" spans="1:41" s="3" customFormat="1" ht="14.25" x14ac:dyDescent="0.4">
      <c r="A15" s="24"/>
      <c r="B15" s="24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4"/>
      <c r="V15" s="4"/>
      <c r="W15" s="25"/>
      <c r="X15" s="24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</row>
    <row r="16" spans="1:41" s="3" customFormat="1" ht="14.25" x14ac:dyDescent="0.4">
      <c r="A16" s="24"/>
      <c r="B16" s="24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4"/>
      <c r="V16" s="4"/>
      <c r="W16" s="25"/>
      <c r="X16" s="24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</row>
    <row r="17" spans="1:41" s="3" customFormat="1" ht="14.25" x14ac:dyDescent="0.4">
      <c r="A17" s="24"/>
      <c r="B17" s="24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4"/>
      <c r="V17" s="4"/>
      <c r="W17" s="25"/>
      <c r="X17" s="24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</row>
    <row r="18" spans="1:41" s="3" customFormat="1" ht="14.25" x14ac:dyDescent="0.4">
      <c r="A18" s="24"/>
      <c r="B18" s="24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4"/>
      <c r="V18" s="4"/>
      <c r="W18" s="25"/>
      <c r="X18" s="24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</row>
    <row r="19" spans="1:41" s="3" customFormat="1" ht="14.25" x14ac:dyDescent="0.4">
      <c r="A19" s="24"/>
      <c r="B19" s="24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4"/>
      <c r="V19" s="4"/>
      <c r="W19" s="25"/>
      <c r="X19" s="24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</row>
    <row r="20" spans="1:41" s="3" customFormat="1" ht="14.25" x14ac:dyDescent="0.4">
      <c r="A20" s="24"/>
      <c r="B20" s="24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4"/>
      <c r="V20" s="4"/>
      <c r="W20" s="25"/>
      <c r="X20" s="24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</row>
    <row r="21" spans="1:41" s="3" customFormat="1" ht="14.25" x14ac:dyDescent="0.4">
      <c r="A21" s="24"/>
      <c r="B21" s="24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4"/>
      <c r="V21" s="4"/>
      <c r="W21" s="25"/>
      <c r="X21" s="24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</row>
    <row r="22" spans="1:41" s="3" customFormat="1" ht="14.25" x14ac:dyDescent="0.4">
      <c r="A22" s="24"/>
      <c r="B22" s="24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4"/>
      <c r="V22" s="4"/>
      <c r="W22" s="25"/>
      <c r="X22" s="24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</row>
    <row r="23" spans="1:41" s="3" customFormat="1" ht="14.25" x14ac:dyDescent="0.4">
      <c r="A23" s="24"/>
      <c r="B23" s="24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4"/>
      <c r="V23" s="4"/>
      <c r="W23" s="25"/>
      <c r="X23" s="24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</row>
    <row r="24" spans="1:41" s="3" customFormat="1" ht="14.25" x14ac:dyDescent="0.4">
      <c r="A24" s="24"/>
      <c r="B24" s="24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4"/>
      <c r="V24" s="4"/>
      <c r="W24" s="25"/>
      <c r="X24" s="24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</row>
    <row r="25" spans="1:41" s="3" customFormat="1" ht="14.25" x14ac:dyDescent="0.4">
      <c r="A25" s="24"/>
      <c r="B25" s="24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4"/>
      <c r="V25" s="4"/>
      <c r="W25" s="25"/>
      <c r="X25" s="24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</row>
    <row r="26" spans="1:41" s="3" customFormat="1" ht="14.25" x14ac:dyDescent="0.4">
      <c r="A26" s="24"/>
      <c r="B26" s="24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4"/>
      <c r="V26" s="4"/>
      <c r="W26" s="25"/>
      <c r="X26" s="24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</row>
    <row r="27" spans="1:41" s="3" customFormat="1" ht="14.25" x14ac:dyDescent="0.4">
      <c r="A27" s="24"/>
      <c r="B27" s="2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4"/>
      <c r="V27" s="4"/>
      <c r="W27" s="25"/>
      <c r="X27" s="24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</row>
  </sheetData>
  <mergeCells count="198">
    <mergeCell ref="AL2:AO4"/>
    <mergeCell ref="A3:E3"/>
    <mergeCell ref="F3:O3"/>
    <mergeCell ref="P3:AC3"/>
    <mergeCell ref="AD3:AG3"/>
    <mergeCell ref="A1:E1"/>
    <mergeCell ref="F1:O1"/>
    <mergeCell ref="P1:AC1"/>
    <mergeCell ref="AD1:AG1"/>
    <mergeCell ref="AH1:AK1"/>
    <mergeCell ref="AL1:AO1"/>
    <mergeCell ref="AH3:AK3"/>
    <mergeCell ref="A4:E4"/>
    <mergeCell ref="F4:O4"/>
    <mergeCell ref="P4:AC4"/>
    <mergeCell ref="AD4:AG4"/>
    <mergeCell ref="AH4:AK4"/>
    <mergeCell ref="A2:E2"/>
    <mergeCell ref="F2:O2"/>
    <mergeCell ref="P2:AC2"/>
    <mergeCell ref="AD2:AG2"/>
    <mergeCell ref="AH2:AK2"/>
    <mergeCell ref="Y6:AA6"/>
    <mergeCell ref="AB6:AO6"/>
    <mergeCell ref="A7:B7"/>
    <mergeCell ref="C7:G7"/>
    <mergeCell ref="H7:N7"/>
    <mergeCell ref="O7:Q7"/>
    <mergeCell ref="R7:T7"/>
    <mergeCell ref="W7:X7"/>
    <mergeCell ref="Y7:AA7"/>
    <mergeCell ref="AB7:AO7"/>
    <mergeCell ref="A6:B6"/>
    <mergeCell ref="C6:G6"/>
    <mergeCell ref="H6:N6"/>
    <mergeCell ref="O6:Q6"/>
    <mergeCell ref="R6:T6"/>
    <mergeCell ref="W6:X6"/>
    <mergeCell ref="A11:B11"/>
    <mergeCell ref="C11:G11"/>
    <mergeCell ref="H11:N11"/>
    <mergeCell ref="O11:Q11"/>
    <mergeCell ref="R11:T11"/>
    <mergeCell ref="W11:X11"/>
    <mergeCell ref="Y11:AA11"/>
    <mergeCell ref="AB11:AO11"/>
    <mergeCell ref="Y9:AA9"/>
    <mergeCell ref="AB9:AO9"/>
    <mergeCell ref="A10:B10"/>
    <mergeCell ref="C10:G10"/>
    <mergeCell ref="H10:N10"/>
    <mergeCell ref="O10:Q10"/>
    <mergeCell ref="R10:T10"/>
    <mergeCell ref="W10:X10"/>
    <mergeCell ref="Y10:AA10"/>
    <mergeCell ref="AB10:AO10"/>
    <mergeCell ref="A9:B9"/>
    <mergeCell ref="C9:G9"/>
    <mergeCell ref="H9:N9"/>
    <mergeCell ref="O9:Q9"/>
    <mergeCell ref="R9:T9"/>
    <mergeCell ref="W9:X9"/>
    <mergeCell ref="Y12:AA12"/>
    <mergeCell ref="AB12:AO12"/>
    <mergeCell ref="A13:B13"/>
    <mergeCell ref="C13:G13"/>
    <mergeCell ref="H13:N13"/>
    <mergeCell ref="O13:Q13"/>
    <mergeCell ref="R13:T13"/>
    <mergeCell ref="W13:X13"/>
    <mergeCell ref="Y13:AA13"/>
    <mergeCell ref="AB13:AO13"/>
    <mergeCell ref="A12:B12"/>
    <mergeCell ref="C12:G12"/>
    <mergeCell ref="H12:N12"/>
    <mergeCell ref="O12:Q12"/>
    <mergeCell ref="R12:T12"/>
    <mergeCell ref="W12:X12"/>
    <mergeCell ref="Y14:AA14"/>
    <mergeCell ref="AB14:AO14"/>
    <mergeCell ref="A15:B15"/>
    <mergeCell ref="C15:G15"/>
    <mergeCell ref="H15:N15"/>
    <mergeCell ref="O15:Q15"/>
    <mergeCell ref="R15:T15"/>
    <mergeCell ref="W15:X15"/>
    <mergeCell ref="Y15:AA15"/>
    <mergeCell ref="AB15:AO15"/>
    <mergeCell ref="A14:B14"/>
    <mergeCell ref="C14:G14"/>
    <mergeCell ref="H14:N14"/>
    <mergeCell ref="O14:Q14"/>
    <mergeCell ref="R14:T14"/>
    <mergeCell ref="W14:X14"/>
    <mergeCell ref="Y16:AA16"/>
    <mergeCell ref="AB16:AO16"/>
    <mergeCell ref="A17:B17"/>
    <mergeCell ref="C17:G17"/>
    <mergeCell ref="H17:N17"/>
    <mergeCell ref="O17:Q17"/>
    <mergeCell ref="R17:T17"/>
    <mergeCell ref="W17:X17"/>
    <mergeCell ref="Y17:AA17"/>
    <mergeCell ref="AB17:AO17"/>
    <mergeCell ref="A16:B16"/>
    <mergeCell ref="C16:G16"/>
    <mergeCell ref="H16:N16"/>
    <mergeCell ref="O16:Q16"/>
    <mergeCell ref="R16:T16"/>
    <mergeCell ref="W16:X16"/>
    <mergeCell ref="Y18:AA18"/>
    <mergeCell ref="AB18:AO18"/>
    <mergeCell ref="A19:B19"/>
    <mergeCell ref="C19:G19"/>
    <mergeCell ref="H19:N19"/>
    <mergeCell ref="O19:Q19"/>
    <mergeCell ref="R19:T19"/>
    <mergeCell ref="W19:X19"/>
    <mergeCell ref="Y19:AA19"/>
    <mergeCell ref="AB19:AO19"/>
    <mergeCell ref="A18:B18"/>
    <mergeCell ref="C18:G18"/>
    <mergeCell ref="H18:N18"/>
    <mergeCell ref="O18:Q18"/>
    <mergeCell ref="R18:T18"/>
    <mergeCell ref="W18:X18"/>
    <mergeCell ref="Y20:AA20"/>
    <mergeCell ref="AB20:AO20"/>
    <mergeCell ref="A21:B21"/>
    <mergeCell ref="C21:G21"/>
    <mergeCell ref="H21:N21"/>
    <mergeCell ref="O21:Q21"/>
    <mergeCell ref="R21:T21"/>
    <mergeCell ref="W21:X21"/>
    <mergeCell ref="Y21:AA21"/>
    <mergeCell ref="AB21:AO21"/>
    <mergeCell ref="A20:B20"/>
    <mergeCell ref="C20:G20"/>
    <mergeCell ref="H20:N20"/>
    <mergeCell ref="O20:Q20"/>
    <mergeCell ref="R20:T20"/>
    <mergeCell ref="W20:X20"/>
    <mergeCell ref="R24:T24"/>
    <mergeCell ref="W24:X24"/>
    <mergeCell ref="Y22:AA22"/>
    <mergeCell ref="AB22:AO22"/>
    <mergeCell ref="A23:B23"/>
    <mergeCell ref="C23:G23"/>
    <mergeCell ref="H23:N23"/>
    <mergeCell ref="O23:Q23"/>
    <mergeCell ref="R23:T23"/>
    <mergeCell ref="W23:X23"/>
    <mergeCell ref="Y23:AA23"/>
    <mergeCell ref="AB23:AO23"/>
    <mergeCell ref="A22:B22"/>
    <mergeCell ref="C22:G22"/>
    <mergeCell ref="H22:N22"/>
    <mergeCell ref="O22:Q22"/>
    <mergeCell ref="R22:T22"/>
    <mergeCell ref="W22:X22"/>
    <mergeCell ref="A27:B27"/>
    <mergeCell ref="C27:G27"/>
    <mergeCell ref="H27:N27"/>
    <mergeCell ref="O27:Q27"/>
    <mergeCell ref="R27:T27"/>
    <mergeCell ref="W27:X27"/>
    <mergeCell ref="Y27:AA27"/>
    <mergeCell ref="AB27:AO27"/>
    <mergeCell ref="A26:B26"/>
    <mergeCell ref="C26:G26"/>
    <mergeCell ref="H26:N26"/>
    <mergeCell ref="O26:Q26"/>
    <mergeCell ref="R26:T26"/>
    <mergeCell ref="W26:X26"/>
    <mergeCell ref="Y8:AA8"/>
    <mergeCell ref="AB8:AO8"/>
    <mergeCell ref="A8:B8"/>
    <mergeCell ref="C8:G8"/>
    <mergeCell ref="H8:N8"/>
    <mergeCell ref="O8:Q8"/>
    <mergeCell ref="R8:T8"/>
    <mergeCell ref="W8:X8"/>
    <mergeCell ref="Y26:AA26"/>
    <mergeCell ref="AB26:AO26"/>
    <mergeCell ref="Y24:AA24"/>
    <mergeCell ref="AB24:AO24"/>
    <mergeCell ref="A25:B25"/>
    <mergeCell ref="C25:G25"/>
    <mergeCell ref="H25:N25"/>
    <mergeCell ref="O25:Q25"/>
    <mergeCell ref="R25:T25"/>
    <mergeCell ref="W25:X25"/>
    <mergeCell ref="Y25:AA25"/>
    <mergeCell ref="AB25:AO25"/>
    <mergeCell ref="A24:B24"/>
    <mergeCell ref="C24:G24"/>
    <mergeCell ref="H24:N24"/>
    <mergeCell ref="O24:Q24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859C-1C08-4086-8697-9A16EEBA7947}">
  <dimension ref="A1:AO27"/>
  <sheetViews>
    <sheetView workbookViewId="0">
      <selection activeCell="C9" sqref="C9:G9"/>
    </sheetView>
  </sheetViews>
  <sheetFormatPr defaultColWidth="3.25" defaultRowHeight="15.75" x14ac:dyDescent="0.4"/>
  <cols>
    <col min="1" max="16384" width="3.25" style="1"/>
  </cols>
  <sheetData>
    <row r="1" spans="1:41" x14ac:dyDescent="0.4">
      <c r="A1" s="11" t="s">
        <v>0</v>
      </c>
      <c r="B1" s="12"/>
      <c r="C1" s="12"/>
      <c r="D1" s="12"/>
      <c r="E1" s="12"/>
      <c r="F1" s="12" t="s">
        <v>4</v>
      </c>
      <c r="G1" s="12"/>
      <c r="H1" s="12"/>
      <c r="I1" s="12"/>
      <c r="J1" s="12"/>
      <c r="K1" s="12"/>
      <c r="L1" s="12"/>
      <c r="M1" s="12"/>
      <c r="N1" s="12"/>
      <c r="O1" s="12"/>
      <c r="P1" s="12" t="s">
        <v>10</v>
      </c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 t="s">
        <v>5</v>
      </c>
      <c r="AE1" s="12"/>
      <c r="AF1" s="12"/>
      <c r="AG1" s="12"/>
      <c r="AH1" s="12" t="s">
        <v>7</v>
      </c>
      <c r="AI1" s="12"/>
      <c r="AJ1" s="12"/>
      <c r="AK1" s="12"/>
      <c r="AL1" s="12" t="s">
        <v>9</v>
      </c>
      <c r="AM1" s="12"/>
      <c r="AN1" s="12"/>
      <c r="AO1" s="13"/>
    </row>
    <row r="2" spans="1:41" ht="28.5" customHeight="1" x14ac:dyDescent="0.4">
      <c r="A2" s="9" t="str">
        <f>案件番号</f>
        <v>EDU001</v>
      </c>
      <c r="B2" s="10"/>
      <c r="C2" s="10"/>
      <c r="D2" s="10"/>
      <c r="E2" s="10"/>
      <c r="F2" s="10" t="str" cm="1">
        <f t="array" ref="F2">案件名</f>
        <v>AWS 2nd</v>
      </c>
      <c r="G2" s="10"/>
      <c r="H2" s="10"/>
      <c r="I2" s="10"/>
      <c r="J2" s="10"/>
      <c r="K2" s="10"/>
      <c r="L2" s="10"/>
      <c r="M2" s="10"/>
      <c r="N2" s="10"/>
      <c r="O2" s="10"/>
      <c r="P2" s="10" t="str">
        <f>ドキュメント名</f>
        <v>テーブル定義書</v>
      </c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 t="str">
        <f>作成担当者</f>
        <v>五嶋</v>
      </c>
      <c r="AE2" s="10"/>
      <c r="AF2" s="10"/>
      <c r="AG2" s="10"/>
      <c r="AH2" s="16" t="str">
        <f>作成年月日</f>
        <v>2024/05/07</v>
      </c>
      <c r="AI2" s="16"/>
      <c r="AJ2" s="16"/>
      <c r="AK2" s="16"/>
      <c r="AL2" s="5"/>
      <c r="AM2" s="5"/>
      <c r="AN2" s="5"/>
      <c r="AO2" s="6"/>
    </row>
    <row r="3" spans="1:41" x14ac:dyDescent="0.4">
      <c r="A3" s="9" t="s">
        <v>2</v>
      </c>
      <c r="B3" s="10"/>
      <c r="C3" s="10"/>
      <c r="D3" s="10"/>
      <c r="E3" s="10"/>
      <c r="F3" s="10" t="s">
        <v>1</v>
      </c>
      <c r="G3" s="10"/>
      <c r="H3" s="10"/>
      <c r="I3" s="10"/>
      <c r="J3" s="10"/>
      <c r="K3" s="10"/>
      <c r="L3" s="10"/>
      <c r="M3" s="10"/>
      <c r="N3" s="10"/>
      <c r="O3" s="10"/>
      <c r="P3" s="10" t="s">
        <v>3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 t="s">
        <v>6</v>
      </c>
      <c r="AE3" s="10"/>
      <c r="AF3" s="10"/>
      <c r="AG3" s="10"/>
      <c r="AH3" s="10" t="s">
        <v>8</v>
      </c>
      <c r="AI3" s="10"/>
      <c r="AJ3" s="10"/>
      <c r="AK3" s="10"/>
      <c r="AL3" s="5"/>
      <c r="AM3" s="5"/>
      <c r="AN3" s="5"/>
      <c r="AO3" s="6"/>
    </row>
    <row r="4" spans="1:41" ht="28.5" customHeight="1" thickBot="1" x14ac:dyDescent="0.45">
      <c r="A4" s="14" t="s">
        <v>33</v>
      </c>
      <c r="B4" s="15"/>
      <c r="C4" s="15"/>
      <c r="D4" s="15"/>
      <c r="E4" s="15"/>
      <c r="F4" s="15" t="str">
        <f>プロジェクト名</f>
        <v>在庫・売上管理システム</v>
      </c>
      <c r="G4" s="15"/>
      <c r="H4" s="15"/>
      <c r="I4" s="15"/>
      <c r="J4" s="15"/>
      <c r="K4" s="15"/>
      <c r="L4" s="15"/>
      <c r="M4" s="15"/>
      <c r="N4" s="15"/>
      <c r="O4" s="15"/>
      <c r="P4" s="15" t="s">
        <v>30</v>
      </c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7"/>
      <c r="AM4" s="7"/>
      <c r="AN4" s="7"/>
      <c r="AO4" s="8"/>
    </row>
    <row r="6" spans="1:41" s="3" customFormat="1" ht="27" customHeight="1" x14ac:dyDescent="0.4">
      <c r="A6" s="27" t="s">
        <v>14</v>
      </c>
      <c r="B6" s="27"/>
      <c r="C6" s="26" t="s">
        <v>20</v>
      </c>
      <c r="D6" s="26"/>
      <c r="E6" s="26"/>
      <c r="F6" s="26"/>
      <c r="G6" s="26"/>
      <c r="H6" s="26" t="s">
        <v>21</v>
      </c>
      <c r="I6" s="26"/>
      <c r="J6" s="26"/>
      <c r="K6" s="26"/>
      <c r="L6" s="26"/>
      <c r="M6" s="26"/>
      <c r="N6" s="26"/>
      <c r="O6" s="26" t="s">
        <v>22</v>
      </c>
      <c r="P6" s="26"/>
      <c r="Q6" s="26"/>
      <c r="R6" s="26" t="s">
        <v>23</v>
      </c>
      <c r="S6" s="26"/>
      <c r="T6" s="26"/>
      <c r="U6" s="2" t="s">
        <v>24</v>
      </c>
      <c r="V6" s="2" t="s">
        <v>25</v>
      </c>
      <c r="W6" s="28" t="s">
        <v>26</v>
      </c>
      <c r="X6" s="27"/>
      <c r="Y6" s="26" t="s">
        <v>27</v>
      </c>
      <c r="Z6" s="26"/>
      <c r="AA6" s="26"/>
      <c r="AB6" s="26" t="s">
        <v>28</v>
      </c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</row>
    <row r="7" spans="1:41" s="3" customFormat="1" ht="14.25" x14ac:dyDescent="0.4">
      <c r="A7" s="24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4"/>
      <c r="V7" s="4"/>
      <c r="W7" s="25"/>
      <c r="X7" s="24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s="3" customFormat="1" ht="14.25" x14ac:dyDescent="0.4">
      <c r="A8" s="24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4"/>
      <c r="V8" s="4"/>
      <c r="W8" s="25"/>
      <c r="X8" s="24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</row>
    <row r="9" spans="1:41" s="3" customFormat="1" ht="14.25" x14ac:dyDescent="0.4">
      <c r="A9" s="24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4"/>
      <c r="V9" s="4"/>
      <c r="W9" s="25"/>
      <c r="X9" s="24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</row>
    <row r="10" spans="1:41" s="3" customFormat="1" ht="14.25" x14ac:dyDescent="0.4">
      <c r="A10" s="24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4"/>
      <c r="V10" s="4"/>
      <c r="W10" s="25"/>
      <c r="X10" s="24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</row>
    <row r="11" spans="1:41" s="3" customFormat="1" ht="14.25" x14ac:dyDescent="0.4">
      <c r="A11" s="24"/>
      <c r="B11" s="24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4"/>
      <c r="V11" s="4"/>
      <c r="W11" s="25"/>
      <c r="X11" s="24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s="3" customFormat="1" ht="14.25" x14ac:dyDescent="0.4">
      <c r="A12" s="24"/>
      <c r="B12" s="24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4"/>
      <c r="V12" s="4"/>
      <c r="W12" s="25"/>
      <c r="X12" s="24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spans="1:41" s="3" customFormat="1" ht="14.25" x14ac:dyDescent="0.4">
      <c r="A13" s="24"/>
      <c r="B13" s="24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4"/>
      <c r="V13" s="4"/>
      <c r="W13" s="25"/>
      <c r="X13" s="24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</row>
    <row r="14" spans="1:41" s="3" customFormat="1" ht="14.25" x14ac:dyDescent="0.4">
      <c r="A14" s="24"/>
      <c r="B14" s="24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4"/>
      <c r="V14" s="4"/>
      <c r="W14" s="25"/>
      <c r="X14" s="24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</row>
    <row r="15" spans="1:41" s="3" customFormat="1" ht="14.25" x14ac:dyDescent="0.4">
      <c r="A15" s="24"/>
      <c r="B15" s="24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4"/>
      <c r="V15" s="4"/>
      <c r="W15" s="25"/>
      <c r="X15" s="24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</row>
    <row r="16" spans="1:41" s="3" customFormat="1" ht="14.25" x14ac:dyDescent="0.4">
      <c r="A16" s="24"/>
      <c r="B16" s="24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4"/>
      <c r="V16" s="4"/>
      <c r="W16" s="25"/>
      <c r="X16" s="24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</row>
    <row r="17" spans="1:41" s="3" customFormat="1" ht="14.25" x14ac:dyDescent="0.4">
      <c r="A17" s="24"/>
      <c r="B17" s="24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4"/>
      <c r="V17" s="4"/>
      <c r="W17" s="25"/>
      <c r="X17" s="24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</row>
    <row r="18" spans="1:41" s="3" customFormat="1" ht="14.25" x14ac:dyDescent="0.4">
      <c r="A18" s="24"/>
      <c r="B18" s="24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4"/>
      <c r="V18" s="4"/>
      <c r="W18" s="25"/>
      <c r="X18" s="24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</row>
    <row r="19" spans="1:41" s="3" customFormat="1" ht="14.25" x14ac:dyDescent="0.4">
      <c r="A19" s="24"/>
      <c r="B19" s="24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4"/>
      <c r="V19" s="4"/>
      <c r="W19" s="25"/>
      <c r="X19" s="24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</row>
    <row r="20" spans="1:41" s="3" customFormat="1" ht="14.25" x14ac:dyDescent="0.4">
      <c r="A20" s="24"/>
      <c r="B20" s="24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4"/>
      <c r="V20" s="4"/>
      <c r="W20" s="25"/>
      <c r="X20" s="24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</row>
    <row r="21" spans="1:41" s="3" customFormat="1" ht="14.25" x14ac:dyDescent="0.4">
      <c r="A21" s="24"/>
      <c r="B21" s="24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4"/>
      <c r="V21" s="4"/>
      <c r="W21" s="25"/>
      <c r="X21" s="24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</row>
    <row r="22" spans="1:41" s="3" customFormat="1" ht="14.25" x14ac:dyDescent="0.4">
      <c r="A22" s="24"/>
      <c r="B22" s="24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4"/>
      <c r="V22" s="4"/>
      <c r="W22" s="25"/>
      <c r="X22" s="24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</row>
    <row r="23" spans="1:41" s="3" customFormat="1" ht="14.25" x14ac:dyDescent="0.4">
      <c r="A23" s="24"/>
      <c r="B23" s="24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4"/>
      <c r="V23" s="4"/>
      <c r="W23" s="25"/>
      <c r="X23" s="24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</row>
    <row r="24" spans="1:41" s="3" customFormat="1" ht="14.25" x14ac:dyDescent="0.4">
      <c r="A24" s="24"/>
      <c r="B24" s="24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4"/>
      <c r="V24" s="4"/>
      <c r="W24" s="25"/>
      <c r="X24" s="24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</row>
    <row r="25" spans="1:41" s="3" customFormat="1" ht="14.25" x14ac:dyDescent="0.4">
      <c r="A25" s="24"/>
      <c r="B25" s="24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4"/>
      <c r="V25" s="4"/>
      <c r="W25" s="25"/>
      <c r="X25" s="24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</row>
    <row r="26" spans="1:41" s="3" customFormat="1" ht="14.25" x14ac:dyDescent="0.4">
      <c r="A26" s="24"/>
      <c r="B26" s="24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4"/>
      <c r="V26" s="4"/>
      <c r="W26" s="25"/>
      <c r="X26" s="24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</row>
    <row r="27" spans="1:41" s="3" customFormat="1" ht="14.25" x14ac:dyDescent="0.4">
      <c r="A27" s="24"/>
      <c r="B27" s="2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4"/>
      <c r="V27" s="4"/>
      <c r="W27" s="25"/>
      <c r="X27" s="24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</row>
  </sheetData>
  <mergeCells count="198">
    <mergeCell ref="AL2:AO4"/>
    <mergeCell ref="A3:E3"/>
    <mergeCell ref="F3:O3"/>
    <mergeCell ref="P3:AC3"/>
    <mergeCell ref="AD3:AG3"/>
    <mergeCell ref="A1:E1"/>
    <mergeCell ref="F1:O1"/>
    <mergeCell ref="P1:AC1"/>
    <mergeCell ref="AD1:AG1"/>
    <mergeCell ref="AH1:AK1"/>
    <mergeCell ref="AL1:AO1"/>
    <mergeCell ref="AH3:AK3"/>
    <mergeCell ref="A4:E4"/>
    <mergeCell ref="F4:O4"/>
    <mergeCell ref="P4:AC4"/>
    <mergeCell ref="AD4:AG4"/>
    <mergeCell ref="AH4:AK4"/>
    <mergeCell ref="A2:E2"/>
    <mergeCell ref="F2:O2"/>
    <mergeCell ref="P2:AC2"/>
    <mergeCell ref="AD2:AG2"/>
    <mergeCell ref="AH2:AK2"/>
    <mergeCell ref="Y6:AA6"/>
    <mergeCell ref="AB6:AO6"/>
    <mergeCell ref="A7:B7"/>
    <mergeCell ref="C7:G7"/>
    <mergeCell ref="H7:N7"/>
    <mergeCell ref="O7:Q7"/>
    <mergeCell ref="R7:T7"/>
    <mergeCell ref="W7:X7"/>
    <mergeCell ref="Y7:AA7"/>
    <mergeCell ref="AB7:AO7"/>
    <mergeCell ref="A6:B6"/>
    <mergeCell ref="C6:G6"/>
    <mergeCell ref="H6:N6"/>
    <mergeCell ref="O6:Q6"/>
    <mergeCell ref="R6:T6"/>
    <mergeCell ref="W6:X6"/>
    <mergeCell ref="Y8:AA8"/>
    <mergeCell ref="AB8:AO8"/>
    <mergeCell ref="A9:B9"/>
    <mergeCell ref="C9:G9"/>
    <mergeCell ref="H9:N9"/>
    <mergeCell ref="O9:Q9"/>
    <mergeCell ref="R9:T9"/>
    <mergeCell ref="W9:X9"/>
    <mergeCell ref="Y9:AA9"/>
    <mergeCell ref="AB9:AO9"/>
    <mergeCell ref="A8:B8"/>
    <mergeCell ref="C8:G8"/>
    <mergeCell ref="H8:N8"/>
    <mergeCell ref="O8:Q8"/>
    <mergeCell ref="R8:T8"/>
    <mergeCell ref="W8:X8"/>
    <mergeCell ref="Y10:AA10"/>
    <mergeCell ref="AB10:AO10"/>
    <mergeCell ref="A11:B11"/>
    <mergeCell ref="C11:G11"/>
    <mergeCell ref="H11:N11"/>
    <mergeCell ref="O11:Q11"/>
    <mergeCell ref="R11:T11"/>
    <mergeCell ref="W11:X11"/>
    <mergeCell ref="Y11:AA11"/>
    <mergeCell ref="AB11:AO11"/>
    <mergeCell ref="A10:B10"/>
    <mergeCell ref="C10:G10"/>
    <mergeCell ref="H10:N10"/>
    <mergeCell ref="O10:Q10"/>
    <mergeCell ref="R10:T10"/>
    <mergeCell ref="W10:X10"/>
    <mergeCell ref="Y12:AA12"/>
    <mergeCell ref="AB12:AO12"/>
    <mergeCell ref="A13:B13"/>
    <mergeCell ref="C13:G13"/>
    <mergeCell ref="H13:N13"/>
    <mergeCell ref="O13:Q13"/>
    <mergeCell ref="R13:T13"/>
    <mergeCell ref="W13:X13"/>
    <mergeCell ref="Y13:AA13"/>
    <mergeCell ref="AB13:AO13"/>
    <mergeCell ref="A12:B12"/>
    <mergeCell ref="C12:G12"/>
    <mergeCell ref="H12:N12"/>
    <mergeCell ref="O12:Q12"/>
    <mergeCell ref="R12:T12"/>
    <mergeCell ref="W12:X12"/>
    <mergeCell ref="Y14:AA14"/>
    <mergeCell ref="AB14:AO14"/>
    <mergeCell ref="A15:B15"/>
    <mergeCell ref="C15:G15"/>
    <mergeCell ref="H15:N15"/>
    <mergeCell ref="O15:Q15"/>
    <mergeCell ref="R15:T15"/>
    <mergeCell ref="W15:X15"/>
    <mergeCell ref="Y15:AA15"/>
    <mergeCell ref="AB15:AO15"/>
    <mergeCell ref="A14:B14"/>
    <mergeCell ref="C14:G14"/>
    <mergeCell ref="H14:N14"/>
    <mergeCell ref="O14:Q14"/>
    <mergeCell ref="R14:T14"/>
    <mergeCell ref="W14:X14"/>
    <mergeCell ref="Y16:AA16"/>
    <mergeCell ref="AB16:AO16"/>
    <mergeCell ref="A17:B17"/>
    <mergeCell ref="C17:G17"/>
    <mergeCell ref="H17:N17"/>
    <mergeCell ref="O17:Q17"/>
    <mergeCell ref="R17:T17"/>
    <mergeCell ref="W17:X17"/>
    <mergeCell ref="Y17:AA17"/>
    <mergeCell ref="AB17:AO17"/>
    <mergeCell ref="A16:B16"/>
    <mergeCell ref="C16:G16"/>
    <mergeCell ref="H16:N16"/>
    <mergeCell ref="O16:Q16"/>
    <mergeCell ref="R16:T16"/>
    <mergeCell ref="W16:X16"/>
    <mergeCell ref="Y18:AA18"/>
    <mergeCell ref="AB18:AO18"/>
    <mergeCell ref="A19:B19"/>
    <mergeCell ref="C19:G19"/>
    <mergeCell ref="H19:N19"/>
    <mergeCell ref="O19:Q19"/>
    <mergeCell ref="R19:T19"/>
    <mergeCell ref="W19:X19"/>
    <mergeCell ref="Y19:AA19"/>
    <mergeCell ref="AB19:AO19"/>
    <mergeCell ref="A18:B18"/>
    <mergeCell ref="C18:G18"/>
    <mergeCell ref="H18:N18"/>
    <mergeCell ref="O18:Q18"/>
    <mergeCell ref="R18:T18"/>
    <mergeCell ref="W18:X18"/>
    <mergeCell ref="Y20:AA20"/>
    <mergeCell ref="AB20:AO20"/>
    <mergeCell ref="A21:B21"/>
    <mergeCell ref="C21:G21"/>
    <mergeCell ref="H21:N21"/>
    <mergeCell ref="O21:Q21"/>
    <mergeCell ref="R21:T21"/>
    <mergeCell ref="W21:X21"/>
    <mergeCell ref="Y21:AA21"/>
    <mergeCell ref="AB21:AO21"/>
    <mergeCell ref="A20:B20"/>
    <mergeCell ref="C20:G20"/>
    <mergeCell ref="H20:N20"/>
    <mergeCell ref="O20:Q20"/>
    <mergeCell ref="R20:T20"/>
    <mergeCell ref="W20:X20"/>
    <mergeCell ref="Y22:AA22"/>
    <mergeCell ref="AB22:AO22"/>
    <mergeCell ref="A23:B23"/>
    <mergeCell ref="C23:G23"/>
    <mergeCell ref="H23:N23"/>
    <mergeCell ref="O23:Q23"/>
    <mergeCell ref="R23:T23"/>
    <mergeCell ref="W23:X23"/>
    <mergeCell ref="Y23:AA23"/>
    <mergeCell ref="AB23:AO23"/>
    <mergeCell ref="A22:B22"/>
    <mergeCell ref="C22:G22"/>
    <mergeCell ref="H22:N22"/>
    <mergeCell ref="O22:Q22"/>
    <mergeCell ref="R22:T22"/>
    <mergeCell ref="W22:X22"/>
    <mergeCell ref="Y24:AA24"/>
    <mergeCell ref="AB24:AO24"/>
    <mergeCell ref="A25:B25"/>
    <mergeCell ref="C25:G25"/>
    <mergeCell ref="H25:N25"/>
    <mergeCell ref="O25:Q25"/>
    <mergeCell ref="R25:T25"/>
    <mergeCell ref="W25:X25"/>
    <mergeCell ref="Y25:AA25"/>
    <mergeCell ref="AB25:AO25"/>
    <mergeCell ref="A24:B24"/>
    <mergeCell ref="C24:G24"/>
    <mergeCell ref="H24:N24"/>
    <mergeCell ref="O24:Q24"/>
    <mergeCell ref="R24:T24"/>
    <mergeCell ref="W24:X24"/>
    <mergeCell ref="Y26:AA26"/>
    <mergeCell ref="AB26:AO26"/>
    <mergeCell ref="A27:B27"/>
    <mergeCell ref="C27:G27"/>
    <mergeCell ref="H27:N27"/>
    <mergeCell ref="O27:Q27"/>
    <mergeCell ref="R27:T27"/>
    <mergeCell ref="W27:X27"/>
    <mergeCell ref="Y27:AA27"/>
    <mergeCell ref="AB27:AO27"/>
    <mergeCell ref="A26:B26"/>
    <mergeCell ref="C26:G26"/>
    <mergeCell ref="H26:N26"/>
    <mergeCell ref="O26:Q26"/>
    <mergeCell ref="R26:T26"/>
    <mergeCell ref="W26:X26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6B699-02F6-4043-9E81-234A36B792F3}">
  <dimension ref="A1:AO4"/>
  <sheetViews>
    <sheetView workbookViewId="0">
      <selection activeCell="AK9" sqref="AK9"/>
    </sheetView>
  </sheetViews>
  <sheetFormatPr defaultColWidth="3.25" defaultRowHeight="15.75" x14ac:dyDescent="0.4"/>
  <cols>
    <col min="1" max="16384" width="3.25" style="1"/>
  </cols>
  <sheetData>
    <row r="1" spans="1:41" x14ac:dyDescent="0.4">
      <c r="A1" s="11" t="s">
        <v>0</v>
      </c>
      <c r="B1" s="12"/>
      <c r="C1" s="12"/>
      <c r="D1" s="12"/>
      <c r="E1" s="12"/>
      <c r="F1" s="12" t="s">
        <v>4</v>
      </c>
      <c r="G1" s="12"/>
      <c r="H1" s="12"/>
      <c r="I1" s="12"/>
      <c r="J1" s="12"/>
      <c r="K1" s="12"/>
      <c r="L1" s="12"/>
      <c r="M1" s="12"/>
      <c r="N1" s="12"/>
      <c r="O1" s="12"/>
      <c r="P1" s="12" t="s">
        <v>10</v>
      </c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 t="s">
        <v>5</v>
      </c>
      <c r="AE1" s="12"/>
      <c r="AF1" s="12"/>
      <c r="AG1" s="12"/>
      <c r="AH1" s="12" t="s">
        <v>7</v>
      </c>
      <c r="AI1" s="12"/>
      <c r="AJ1" s="12"/>
      <c r="AK1" s="12"/>
      <c r="AL1" s="12" t="s">
        <v>9</v>
      </c>
      <c r="AM1" s="12"/>
      <c r="AN1" s="12"/>
      <c r="AO1" s="13"/>
    </row>
    <row r="2" spans="1:41" ht="28.5" customHeight="1" x14ac:dyDescent="0.4">
      <c r="A2" s="9" t="s">
        <v>11</v>
      </c>
      <c r="B2" s="10"/>
      <c r="C2" s="10"/>
      <c r="D2" s="10"/>
      <c r="E2" s="10"/>
      <c r="F2" s="10" t="s">
        <v>35</v>
      </c>
      <c r="G2" s="10"/>
      <c r="H2" s="10"/>
      <c r="I2" s="10"/>
      <c r="J2" s="10"/>
      <c r="K2" s="10"/>
      <c r="L2" s="10"/>
      <c r="M2" s="10"/>
      <c r="N2" s="10"/>
      <c r="O2" s="10"/>
      <c r="P2" s="10" t="s">
        <v>29</v>
      </c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 t="s">
        <v>12</v>
      </c>
      <c r="AE2" s="10"/>
      <c r="AF2" s="10"/>
      <c r="AG2" s="10"/>
      <c r="AH2" s="16" t="s">
        <v>56</v>
      </c>
      <c r="AI2" s="16"/>
      <c r="AJ2" s="16"/>
      <c r="AK2" s="16"/>
      <c r="AL2" s="5"/>
      <c r="AM2" s="5"/>
      <c r="AN2" s="5"/>
      <c r="AO2" s="6"/>
    </row>
    <row r="3" spans="1:41" x14ac:dyDescent="0.4">
      <c r="A3" s="9" t="s">
        <v>2</v>
      </c>
      <c r="B3" s="10"/>
      <c r="C3" s="10"/>
      <c r="D3" s="10"/>
      <c r="E3" s="10"/>
      <c r="F3" s="10" t="s">
        <v>1</v>
      </c>
      <c r="G3" s="10"/>
      <c r="H3" s="10"/>
      <c r="I3" s="10"/>
      <c r="J3" s="10"/>
      <c r="K3" s="10"/>
      <c r="L3" s="10"/>
      <c r="M3" s="10"/>
      <c r="N3" s="10"/>
      <c r="O3" s="10"/>
      <c r="P3" s="10" t="s">
        <v>3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 t="s">
        <v>6</v>
      </c>
      <c r="AE3" s="10"/>
      <c r="AF3" s="10"/>
      <c r="AG3" s="10"/>
      <c r="AH3" s="10" t="s">
        <v>8</v>
      </c>
      <c r="AI3" s="10"/>
      <c r="AJ3" s="10"/>
      <c r="AK3" s="10"/>
      <c r="AL3" s="5"/>
      <c r="AM3" s="5"/>
      <c r="AN3" s="5"/>
      <c r="AO3" s="6"/>
    </row>
    <row r="4" spans="1:41" ht="28.5" customHeight="1" thickBot="1" x14ac:dyDescent="0.45">
      <c r="A4" s="34"/>
      <c r="B4" s="15"/>
      <c r="C4" s="15"/>
      <c r="D4" s="15"/>
      <c r="E4" s="15"/>
      <c r="F4" s="15" t="s">
        <v>34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7"/>
      <c r="AM4" s="7"/>
      <c r="AN4" s="7"/>
      <c r="AO4" s="8"/>
    </row>
  </sheetData>
  <mergeCells count="22">
    <mergeCell ref="AL2:AO4"/>
    <mergeCell ref="AL1:AO1"/>
    <mergeCell ref="AD1:AG1"/>
    <mergeCell ref="AD2:AG2"/>
    <mergeCell ref="AD3:AG3"/>
    <mergeCell ref="AD4:AG4"/>
    <mergeCell ref="AH1:AK1"/>
    <mergeCell ref="AH2:AK2"/>
    <mergeCell ref="AH3:AK3"/>
    <mergeCell ref="AH4:AK4"/>
    <mergeCell ref="A4:E4"/>
    <mergeCell ref="F4:O4"/>
    <mergeCell ref="P1:AC1"/>
    <mergeCell ref="P2:AC2"/>
    <mergeCell ref="P3:AC3"/>
    <mergeCell ref="P4:AC4"/>
    <mergeCell ref="A1:E1"/>
    <mergeCell ref="A3:E3"/>
    <mergeCell ref="F1:O1"/>
    <mergeCell ref="A2:E2"/>
    <mergeCell ref="F2:O2"/>
    <mergeCell ref="F3:O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7</vt:i4>
      </vt:variant>
    </vt:vector>
  </HeadingPairs>
  <TitlesOfParts>
    <vt:vector size="13" baseType="lpstr">
      <vt:lpstr>更新履歴</vt:lpstr>
      <vt:lpstr>商品マスタ</vt:lpstr>
      <vt:lpstr>在庫マスタ</vt:lpstr>
      <vt:lpstr>入出庫トランザクショントランザクション</vt:lpstr>
      <vt:lpstr>テーブル名4</vt:lpstr>
      <vt:lpstr>ヘッダ</vt:lpstr>
      <vt:lpstr>タイトル</vt:lpstr>
      <vt:lpstr>ドキュメント名</vt:lpstr>
      <vt:lpstr>プロジェクト名</vt:lpstr>
      <vt:lpstr>案件番号</vt:lpstr>
      <vt:lpstr>案件名</vt:lpstr>
      <vt:lpstr>作成担当者</vt:lpstr>
      <vt:lpstr>作成年月日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克典 五嶋</dc:creator>
  <cp:lastModifiedBy>克典 五嶋</cp:lastModifiedBy>
  <dcterms:created xsi:type="dcterms:W3CDTF">2023-10-02T01:33:56Z</dcterms:created>
  <dcterms:modified xsi:type="dcterms:W3CDTF">2024-05-08T08:12:27Z</dcterms:modified>
</cp:coreProperties>
</file>